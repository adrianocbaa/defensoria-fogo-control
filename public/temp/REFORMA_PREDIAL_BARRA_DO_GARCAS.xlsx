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LOCALIDADES\BARRA DO GARÇAS\REFORMA RECEPÇÃO 2025\PLANILHA ORÇAMENTÁRIA\"/>
    </mc:Choice>
  </mc:AlternateContent>
  <xr:revisionPtr revIDLastSave="0" documentId="13_ncr:1_{D4ADC559-40C1-4A45-B852-9E39788D4D4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Sintético" sheetId="2" r:id="rId2"/>
    <sheet name="Analítica" sheetId="3" r:id="rId3"/>
    <sheet name="Mapa de Cotação" sheetId="4" r:id="rId4"/>
    <sheet name="Cronogram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5" l="1"/>
  <c r="D11" i="5"/>
  <c r="D10" i="5"/>
  <c r="D9" i="5"/>
  <c r="D8" i="5"/>
  <c r="D7" i="5"/>
  <c r="D6" i="5"/>
  <c r="D5" i="5"/>
  <c r="C11" i="5"/>
  <c r="C10" i="5"/>
  <c r="C9" i="5"/>
  <c r="C8" i="5"/>
  <c r="C7" i="5"/>
  <c r="C6" i="5"/>
  <c r="C5" i="5"/>
  <c r="J7" i="2"/>
  <c r="J6" i="2"/>
  <c r="J13" i="2"/>
  <c r="J22" i="2"/>
  <c r="J21" i="2"/>
  <c r="J25" i="2"/>
  <c r="J26" i="2"/>
  <c r="J24" i="2"/>
  <c r="J34" i="2"/>
  <c r="J35" i="2"/>
  <c r="J36" i="2"/>
  <c r="J50" i="2"/>
  <c r="J51" i="2"/>
  <c r="J52" i="2"/>
  <c r="J56" i="2"/>
  <c r="J57" i="2"/>
  <c r="M8" i="4"/>
  <c r="M7" i="4"/>
  <c r="M6" i="4"/>
  <c r="J23" i="2" l="1"/>
  <c r="H458" i="3"/>
  <c r="H457" i="3"/>
  <c r="G14" i="1"/>
  <c r="G13" i="1"/>
  <c r="J55" i="2"/>
  <c r="J54" i="2"/>
  <c r="J53" i="2" s="1"/>
  <c r="J49" i="2"/>
  <c r="J48" i="2"/>
  <c r="J47" i="2"/>
  <c r="J46" i="2"/>
  <c r="J45" i="2"/>
  <c r="J44" i="2"/>
  <c r="J43" i="2"/>
  <c r="J42" i="2"/>
  <c r="J41" i="2"/>
  <c r="J40" i="2"/>
  <c r="J39" i="2"/>
  <c r="J38" i="2"/>
  <c r="J33" i="2"/>
  <c r="J32" i="2"/>
  <c r="J31" i="2"/>
  <c r="J30" i="2"/>
  <c r="J29" i="2"/>
  <c r="J28" i="2"/>
  <c r="J20" i="2"/>
  <c r="J19" i="2"/>
  <c r="J18" i="2"/>
  <c r="J17" i="2"/>
  <c r="J16" i="2"/>
  <c r="J15" i="2"/>
  <c r="J12" i="2"/>
  <c r="J11" i="2"/>
  <c r="J10" i="2"/>
  <c r="J8" i="2"/>
  <c r="J5" i="2" s="1"/>
  <c r="H5" i="1" s="1"/>
  <c r="J14" i="2" l="1"/>
  <c r="H7" i="1" s="1"/>
  <c r="J27" i="2"/>
  <c r="J37" i="2"/>
  <c r="J9" i="2"/>
  <c r="H6" i="1" s="1"/>
  <c r="H61" i="2" l="1"/>
  <c r="H62" i="2" s="1"/>
  <c r="H11" i="1"/>
  <c r="H10" i="1"/>
  <c r="H9" i="1"/>
  <c r="H8" i="1"/>
  <c r="D15" i="5" l="1"/>
  <c r="H460" i="3"/>
  <c r="G16" i="1"/>
  <c r="H459" i="3"/>
  <c r="G15" i="1"/>
</calcChain>
</file>

<file path=xl/sharedStrings.xml><?xml version="1.0" encoding="utf-8"?>
<sst xmlns="http://schemas.openxmlformats.org/spreadsheetml/2006/main" count="2491" uniqueCount="464">
  <si>
    <t>Obra</t>
  </si>
  <si>
    <t>Bancos</t>
  </si>
  <si>
    <t>B.D.I.</t>
  </si>
  <si>
    <t>Encargos Sociais</t>
  </si>
  <si>
    <t>REFORMA PREDIAL - BARRA DO GARÇAS - ADAPTAÇÃO DE SALAS</t>
  </si>
  <si>
    <t xml:space="preserve">SINAPI - 08/2025 - Mato Grosso
</t>
  </si>
  <si>
    <t>Desonerado: embutido nos preços unitário dos insumos de mão de obra, de acordo com as bases.</t>
  </si>
  <si>
    <t>Planilha Orçamentária Resumida</t>
  </si>
  <si>
    <t>Item</t>
  </si>
  <si>
    <t>Descrição</t>
  </si>
  <si>
    <t>Quant.</t>
  </si>
  <si>
    <t>Total</t>
  </si>
  <si>
    <t>Peso (%)</t>
  </si>
  <si>
    <t xml:space="preserve"> 1 </t>
  </si>
  <si>
    <t>ADMINISTRAÇÃO</t>
  </si>
  <si>
    <t xml:space="preserve"> 2 </t>
  </si>
  <si>
    <t>PAREDES E REVESTIMENTO</t>
  </si>
  <si>
    <t xml:space="preserve"> 3 </t>
  </si>
  <si>
    <t>PINTURA</t>
  </si>
  <si>
    <t xml:space="preserve"> 4 </t>
  </si>
  <si>
    <t>ESQUADRIAS</t>
  </si>
  <si>
    <t xml:space="preserve"> 5 </t>
  </si>
  <si>
    <t>ELÉTRICA</t>
  </si>
  <si>
    <t xml:space="preserve"> 6 </t>
  </si>
  <si>
    <t>REDE LÓGICA</t>
  </si>
  <si>
    <t xml:space="preserve"> 7 </t>
  </si>
  <si>
    <t>LIMPEZA</t>
  </si>
  <si>
    <t>Total sem BDI</t>
  </si>
  <si>
    <t>Total do BDI</t>
  </si>
  <si>
    <t>Total Geral</t>
  </si>
  <si>
    <t>Orçamento Sintético</t>
  </si>
  <si>
    <t>Código</t>
  </si>
  <si>
    <t>Banco</t>
  </si>
  <si>
    <t>Und</t>
  </si>
  <si>
    <t>Valor Unit</t>
  </si>
  <si>
    <t>Valor Unit com BDI</t>
  </si>
  <si>
    <t xml:space="preserve">  </t>
  </si>
  <si>
    <t/>
  </si>
  <si>
    <t xml:space="preserve"> 1.1 </t>
  </si>
  <si>
    <t xml:space="preserve"> 90778 </t>
  </si>
  <si>
    <t>SINAPI</t>
  </si>
  <si>
    <t>ENGENHEIRO CIVIL DE OBRA PLENO COM ENCARGOS COMPLEMENTARES</t>
  </si>
  <si>
    <t>H</t>
  </si>
  <si>
    <t xml:space="preserve"> 1.2 </t>
  </si>
  <si>
    <t xml:space="preserve"> 93572 </t>
  </si>
  <si>
    <t>ENCARREGADO GERAL DE OBRAS COM ENCARGOS COMPLEMENTARES</t>
  </si>
  <si>
    <t>MES</t>
  </si>
  <si>
    <t xml:space="preserve"> 1.3 </t>
  </si>
  <si>
    <t xml:space="preserve"> IP.DPMT.0036 </t>
  </si>
  <si>
    <t>Próprio</t>
  </si>
  <si>
    <t>TAXA ART/RRT - CREA/CAU</t>
  </si>
  <si>
    <t>VERBA</t>
  </si>
  <si>
    <t xml:space="preserve"> 2.1 </t>
  </si>
  <si>
    <t xml:space="preserve"> CP.DPMT.01484 </t>
  </si>
  <si>
    <t>RODAPÉ CERÂMICO DE 10CM DE ALTURA COM PLACAS TIPO PORCELANATO DE DIMENSÕES 80X80 CM</t>
  </si>
  <si>
    <t>M</t>
  </si>
  <si>
    <t xml:space="preserve"> 2.2 </t>
  </si>
  <si>
    <t xml:space="preserve"> 96361 </t>
  </si>
  <si>
    <t>PAREDE COM SISTEMA EM CHAPAS DE GESSO PARA DRYWALL, USO INTERNO, COM DUAS FACES SIMPLES E ESTRUTURA METÁLICA COM GUIAS DUPLAS PARA PAREDES COM ÁREA LÍQUIDA MAIOR OU IGUAL A 6 M2, COM VÃOS. AF_07/2023_PS</t>
  </si>
  <si>
    <t>m²</t>
  </si>
  <si>
    <t xml:space="preserve"> 2.3 </t>
  </si>
  <si>
    <t xml:space="preserve"> 97640 </t>
  </si>
  <si>
    <t>REMOÇÃO DE FORROS DE DRYWALL, PVC E FIBROMINERAL, DE FORMA MANUAL, SEM REAPROVEITAMENTO. AF_09/2023</t>
  </si>
  <si>
    <t xml:space="preserve"> 2.4 </t>
  </si>
  <si>
    <t xml:space="preserve"> 96114 </t>
  </si>
  <si>
    <t>FORRO EM DRYWALL, PARA AMBIENTES COMERCIAIS, INCLUSIVE ESTRUTURA BIRECIONAL DE FIXAÇÃO. AF_08/2023_PS</t>
  </si>
  <si>
    <t xml:space="preserve"> 3.1 </t>
  </si>
  <si>
    <t xml:space="preserve"> 88497 </t>
  </si>
  <si>
    <t>EMASSAMENTO COM MASSA LÁTEX, APLICAÇÃO EM PAREDE, DUAS DEMÃOS, LIXAMENTO MANUAL. AF_04/2023</t>
  </si>
  <si>
    <t xml:space="preserve"> 3.2 </t>
  </si>
  <si>
    <t xml:space="preserve"> 88489 </t>
  </si>
  <si>
    <t>PINTURA LÁTEX ACRÍLICA PREMIUM, APLICAÇÃO MANUAL EM PAREDES, DUAS DEMÃOS. AF_04/2023</t>
  </si>
  <si>
    <t xml:space="preserve"> 3.3 </t>
  </si>
  <si>
    <t xml:space="preserve"> 88488 </t>
  </si>
  <si>
    <t>PINTURA LÁTEX ACRÍLICA PREMIUM, APLICAÇÃO MANUAL EM TETO, DUAS DEMÃOS. AF_04/2023</t>
  </si>
  <si>
    <t xml:space="preserve"> 3.4 </t>
  </si>
  <si>
    <t xml:space="preserve"> 102227 </t>
  </si>
  <si>
    <t>PINTURA TINTA DE ACABAMENTO (PIGMENTADA) A ÓLEO EM MADEIRA, 3 DEMÃOS. AF_01/2021</t>
  </si>
  <si>
    <t xml:space="preserve"> 3.5 </t>
  </si>
  <si>
    <t xml:space="preserve"> 102197 </t>
  </si>
  <si>
    <t>PINTURA FUNDO NIVELADOR ALQUÍDICO BRANCO EM MADEIRA. AF_01/2021</t>
  </si>
  <si>
    <t xml:space="preserve"> 3.6 </t>
  </si>
  <si>
    <t xml:space="preserve"> 102193 </t>
  </si>
  <si>
    <t>LIXAMENTO DE MADEIRA PARA APLICAÇÃO DE FUNDO OU PINTURA. AF_01/2021</t>
  </si>
  <si>
    <t xml:space="preserve"> 3.7 </t>
  </si>
  <si>
    <t xml:space="preserve"> 88485 </t>
  </si>
  <si>
    <t>FUNDO SELADOR ACRÍLICO, APLICAÇÃO MANUAL EM PAREDE, UMA DEMÃO. AF_04/2023</t>
  </si>
  <si>
    <t xml:space="preserve"> 4.1 </t>
  </si>
  <si>
    <t xml:space="preserve"> 102179 </t>
  </si>
  <si>
    <t>INSTALAÇÃO DE VIDRO TEMPERADO, E = 6 MM, ENCAIXADO EM PERFIL U. AF_01/2021_PS</t>
  </si>
  <si>
    <t xml:space="preserve"> 4.2 </t>
  </si>
  <si>
    <t xml:space="preserve"> 100689 </t>
  </si>
  <si>
    <t>KIT DE PORTA DE MADEIRA FRISADA, SEMI-OCA (LEVE OU MÉDIA), PADRÃO MÉDIO, 80X210CM, ESPESSURA DE 3,5CM, ITENS INCLUSOS: DOBRADIÇAS, MONTAGEM E INSTALAÇÃO DE BATENTE, FECHADURA COM EXECUÇÃO DO FURO - FORNECIMENTO E INSTALAÇÃO. AF_12/2019</t>
  </si>
  <si>
    <t>UN</t>
  </si>
  <si>
    <t xml:space="preserve"> 5.1 </t>
  </si>
  <si>
    <t xml:space="preserve"> CP.DPMT.0293 </t>
  </si>
  <si>
    <t>TOMADA BAIXA SOBREPOR (2 MÓDULOS), 2P+T 10 A, INCLUINDO SUPORTE E PLACA - FORNECIMENTO E INSTALAÇÃO. AF_12/2015</t>
  </si>
  <si>
    <t xml:space="preserve"> 5.2 </t>
  </si>
  <si>
    <t xml:space="preserve"> 91953 </t>
  </si>
  <si>
    <t>INTERRUPTOR SIMPLES (1 MÓDULO), 10A/250V, INCLUINDO SUPORTE E PLACA - FORNECIMENTO E INSTALAÇÃO. AF_03/2023</t>
  </si>
  <si>
    <t xml:space="preserve"> 5.3 </t>
  </si>
  <si>
    <t xml:space="preserve"> CP.DPMT.0992 </t>
  </si>
  <si>
    <t>INSTALAÇÃO DE LUMINÁRIA QUADRADA DE EMBUTIR, 40X40CM, TIPO LED, 32W</t>
  </si>
  <si>
    <t xml:space="preserve"> 5.4 </t>
  </si>
  <si>
    <t xml:space="preserve"> 91871 </t>
  </si>
  <si>
    <t>ELETRODUTO RÍGIDO ROSCÁVEL, PVC, DN 25 MM (3/4"), PARA CIRCUITOS TERMINAIS, INSTALADO EM PAREDE - FORNECIMENTO E INSTALAÇÃO. AF_03/2023</t>
  </si>
  <si>
    <t xml:space="preserve"> 5.5 </t>
  </si>
  <si>
    <t xml:space="preserve"> 91834 </t>
  </si>
  <si>
    <t>ELETRODUTO FLEXÍVEL CORRUGADO, PVC, DN 25 MM (3/4"), PARA CIRCUITOS TERMINAIS, INSTALADO EM FORRO - FORNECIMENTO E INSTALAÇÃO. AF_03/2023</t>
  </si>
  <si>
    <t xml:space="preserve"> 5.6 </t>
  </si>
  <si>
    <t xml:space="preserve"> 92008 </t>
  </si>
  <si>
    <t>TOMADA BAIXA DE EMBUTIR (2 MÓDULOS), 2P+T 10 A, INCLUINDO SUPORTE E PLACA - FORNECIMENTO E INSTALAÇÃO. AF_03/2023</t>
  </si>
  <si>
    <t xml:space="preserve"> 5.7 </t>
  </si>
  <si>
    <t xml:space="preserve"> 83387 </t>
  </si>
  <si>
    <t>CAIXA DE PASSAGEM PVC 4X2" - FORNECIMENTO E INSTALACAO</t>
  </si>
  <si>
    <t xml:space="preserve"> 5.8 </t>
  </si>
  <si>
    <t xml:space="preserve"> 91926 </t>
  </si>
  <si>
    <t>CABO DE COBRE FLEXÍVEL ISOLADO, 2,5 MM², ANTI-CHAMA 450/750 V, PARA CIRCUITOS TERMINAIS - FORNECIMENTO E INSTALAÇÃO. AF_03/2023</t>
  </si>
  <si>
    <t xml:space="preserve"> 5.9 </t>
  </si>
  <si>
    <t xml:space="preserve"> 83566 </t>
  </si>
  <si>
    <t>TOMADA DE EMBUTIR 2P+T 20A/250V C/ PLACA - FORNECIMENTO E INSTALACAO</t>
  </si>
  <si>
    <t xml:space="preserve"> 6.1 </t>
  </si>
  <si>
    <t xml:space="preserve"> 98302 </t>
  </si>
  <si>
    <t>PATCH PANEL 24 PORTAS, CATEGORIA 6 - FORNECIMENTO E INSTALAÇÃO. AF_08/2025</t>
  </si>
  <si>
    <t xml:space="preserve"> 6.2 </t>
  </si>
  <si>
    <t xml:space="preserve"> 106084 </t>
  </si>
  <si>
    <t>RACK DE PAREDE FECHADO DE 12 U EM CHAPA DE AÇO, 19", *570*MM - FORNECIMENTO E INSTALAÇÃO. AF_08/2025</t>
  </si>
  <si>
    <t xml:space="preserve"> 6.3 </t>
  </si>
  <si>
    <t xml:space="preserve"> CP.DPMT.0294 </t>
  </si>
  <si>
    <t>TOMADA DE REDE RJ45, CAT6 2 MODULOS, DE EMBUTIR - FORNECIMENTO E INSTALAÇÃO</t>
  </si>
  <si>
    <t xml:space="preserve"> 6.4 </t>
  </si>
  <si>
    <t xml:space="preserve"> 98297 </t>
  </si>
  <si>
    <t>CABO ELETRÔNICO CATEGORIA 6, INSTALADO EM EDIFICAÇÃO INSTITUCIONAL - FORNECIMENTO E INSTALAÇÃO. AF_08/2025</t>
  </si>
  <si>
    <t xml:space="preserve"> 6.5 </t>
  </si>
  <si>
    <t xml:space="preserve"> 6.6 </t>
  </si>
  <si>
    <t xml:space="preserve"> 91836 </t>
  </si>
  <si>
    <t>ELETRODUTO FLEXÍVEL CORRUGADO, PVC, DN 32 MM (1"), PARA CIRCUITOS TERMINAIS, INSTALADO EM FORRO - FORNECIMENTO E INSTALAÇÃO. AF_03/2023</t>
  </si>
  <si>
    <t xml:space="preserve"> 6.7 </t>
  </si>
  <si>
    <t xml:space="preserve"> 97667 </t>
  </si>
  <si>
    <t>ELETRODUTO FLEXÍVEL CORRUGADO, PEAD, DN 50 (1 1/2"), PARA REDE ENTERRADA DE DISTRIBUIÇÃO DE ENERGIA ELÉTRICA - FORNECIMENTO E INSTALAÇÃO. AF_12/2021</t>
  </si>
  <si>
    <t xml:space="preserve"> 6.8 </t>
  </si>
  <si>
    <t xml:space="preserve"> 97668 </t>
  </si>
  <si>
    <t>ELETRODUTO FLEXÍVEL CORRUGADO, PEAD, DN 63 (2"), PARA REDE ENTERRADA DE DISTRIBUIÇÃO DE ENERGIA ELÉTRICA - FORNECIMENTO E INSTALAÇÃO. AF_12/2021</t>
  </si>
  <si>
    <t xml:space="preserve"> 6.9 </t>
  </si>
  <si>
    <t xml:space="preserve"> CP.DPMT.1019 </t>
  </si>
  <si>
    <t>TOMADA RJ45 CAT 6E DE SOBREPOR 2 MÓDULOS (COMPLETA) - FORNECIMENTO E INSTALAÇÃO. AF_08/2025</t>
  </si>
  <si>
    <t xml:space="preserve"> 6.10 </t>
  </si>
  <si>
    <t xml:space="preserve"> CP.DPMT.0665 </t>
  </si>
  <si>
    <t>GUIA DE CABOS 1U - ABERTO, PVC OU POLÍMERO COM MÍNIMO 10 FINGERS - FORNECIMENTO E INSTALAÇÃO</t>
  </si>
  <si>
    <t xml:space="preserve"> 6.11 </t>
  </si>
  <si>
    <t xml:space="preserve"> CP.DPMT.0666 </t>
  </si>
  <si>
    <t>ORGANIZADOR DE CABOS TIPO VELCRO - FORNECIMENTO E INSTALAÇÃO</t>
  </si>
  <si>
    <t xml:space="preserve"> 6.12 </t>
  </si>
  <si>
    <t xml:space="preserve"> CP.DPMT.01481 </t>
  </si>
  <si>
    <t>PATCHCORD CAT 6, 2,5M, COM CONECTORES RJ45 - FORNECIMENTO E INSTALAÇÃO</t>
  </si>
  <si>
    <t xml:space="preserve"> 6.13 </t>
  </si>
  <si>
    <t xml:space="preserve"> CP.DPMT.0656 </t>
  </si>
  <si>
    <t>PATCHCORD CAT 6, 5M, COM CONECTORES RJ45 - FORNECIMENTO E INSTALAÇÃO</t>
  </si>
  <si>
    <t xml:space="preserve"> 6.14 </t>
  </si>
  <si>
    <t xml:space="preserve"> CP.DPMT.0574 </t>
  </si>
  <si>
    <t>CANALETA APARENTE EM PVC NA COR BRANCA - FORNECIMENTO E INSTALAÇÃO</t>
  </si>
  <si>
    <t>m</t>
  </si>
  <si>
    <t xml:space="preserve"> 6.15 </t>
  </si>
  <si>
    <t xml:space="preserve"> CP.DPMT.0667 </t>
  </si>
  <si>
    <t>PDU 12 TOMADAS NBR14136, 20A, COM FUSÍVEL E CHAVE COMUTADORA - FORNECIMENTO E INSTALAÇÃO</t>
  </si>
  <si>
    <t xml:space="preserve"> 7.1 </t>
  </si>
  <si>
    <t xml:space="preserve"> CP.DPMT.0149 </t>
  </si>
  <si>
    <t>LIMPEZA DE ENTULHO INCLUSO LOCAÇÃO DE CAÇAMBA</t>
  </si>
  <si>
    <t>SEM</t>
  </si>
  <si>
    <t xml:space="preserve"> 7.2 </t>
  </si>
  <si>
    <t xml:space="preserve"> 99821 </t>
  </si>
  <si>
    <t>LIMPEZA DE JANELA DE VIDRO COM CAIXILHO EM AÇO/ALUMÍNIO/PVC. AF_04/2019</t>
  </si>
  <si>
    <t xml:space="preserve"> 7.3 </t>
  </si>
  <si>
    <t xml:space="preserve"> 99803 </t>
  </si>
  <si>
    <t>LIMPEZA DE PISO CERÂMICO OU PORCELANATO COM PANO ÚMIDO. AF_04/2019</t>
  </si>
  <si>
    <t xml:space="preserve"> 7.4 </t>
  </si>
  <si>
    <t xml:space="preserve"> 99802 </t>
  </si>
  <si>
    <t>LIMPEZA DE PISO CERÂMICO OU PORCELANATO COM VASSOURA A SECO. AF_04/2019</t>
  </si>
  <si>
    <t>Planilha Orçamentária Analítica</t>
  </si>
  <si>
    <t>Tipo</t>
  </si>
  <si>
    <t>Composição</t>
  </si>
  <si>
    <t>SEDI - SERVIÇOS DIVERSOS</t>
  </si>
  <si>
    <t>Composição Auxiliar</t>
  </si>
  <si>
    <t xml:space="preserve"> 95403 </t>
  </si>
  <si>
    <t>CURSO DE CAPACITAÇÃO PARA ENGENHEIRO CIVIL DE OBRA PLENO (ENCARGOS COMPLEMENTARES) - HORISTA</t>
  </si>
  <si>
    <t>Insumo</t>
  </si>
  <si>
    <t xml:space="preserve"> 00043462 </t>
  </si>
  <si>
    <t>FERRAMENTAS - FAMILIA ENGENHEIRO CIVIL - HORISTA (ENCARGOS COMPLEMENTARES - COLETADO CAIXA)</t>
  </si>
  <si>
    <t>Equipamento</t>
  </si>
  <si>
    <t xml:space="preserve"> 00037373 </t>
  </si>
  <si>
    <t>SEGURO - HORISTA (COLETADO CAIXA - ENCARGOS COMPLEMENTARES)</t>
  </si>
  <si>
    <t>Taxas</t>
  </si>
  <si>
    <t xml:space="preserve"> 00043486 </t>
  </si>
  <si>
    <t>EPI - FAMILIA ENGENHEIRO CIVIL - HORISTA (ENCARGOS COMPLEMENTARES - COLETADO CAIXA)</t>
  </si>
  <si>
    <t xml:space="preserve"> 00037372 </t>
  </si>
  <si>
    <t>EXAMES - HORISTA (COLETADO CAIXA - ENCARGOS COMPLEMENTARES)</t>
  </si>
  <si>
    <t>Material</t>
  </si>
  <si>
    <t xml:space="preserve"> 00002707 </t>
  </si>
  <si>
    <t>ENGENHEIRO CIVIL DE OBRA PLENO (HORISTA)</t>
  </si>
  <si>
    <t>Mão de Obra</t>
  </si>
  <si>
    <t>MO sem LS =&gt;</t>
  </si>
  <si>
    <t>LS =&gt;</t>
  </si>
  <si>
    <t>MO com LS =&gt;</t>
  </si>
  <si>
    <t>Valor do BDI =&gt;</t>
  </si>
  <si>
    <t>Valor com BDI =&gt;</t>
  </si>
  <si>
    <t>Quant. =&gt;</t>
  </si>
  <si>
    <t>36,00</t>
  </si>
  <si>
    <t>Preço Total =&gt;</t>
  </si>
  <si>
    <t xml:space="preserve"> 95422 </t>
  </si>
  <si>
    <t>CURSO DE CAPACITAÇÃO PARA ENCARREGADO GERAL DE OBRAS (ENCARGOS COMPLEMENTARES) - MENSALISTA</t>
  </si>
  <si>
    <t xml:space="preserve"> 00040863 </t>
  </si>
  <si>
    <t>EXAMES - MENSALISTA (COLETADO CAIXA - ENCARGOS COMPLEMENTARES)</t>
  </si>
  <si>
    <t xml:space="preserve"> 00040818 </t>
  </si>
  <si>
    <t>ENCARREGADO GERAL DE OBRAS (MENSALISTA)</t>
  </si>
  <si>
    <t xml:space="preserve"> 00043499 </t>
  </si>
  <si>
    <t>EPI - FAMILIA ENCARREGADO GERAL - MENSALISTA (ENCARGOS COMPLEMENTARES - COLETADO CAIXA)</t>
  </si>
  <si>
    <t xml:space="preserve"> 00040864 </t>
  </si>
  <si>
    <t>SEGURO - MENSALISTA (COLETADO CAIXA - ENCARGOS COMPLEMENTARES)</t>
  </si>
  <si>
    <t xml:space="preserve"> 00043475 </t>
  </si>
  <si>
    <t>FERRAMENTAS - FAMILIA ENCARREGADO GERAL - MENSALISTA (ENCARGOS COMPLEMENTARES - COLETADO CAIXA)</t>
  </si>
  <si>
    <t>1,00</t>
  </si>
  <si>
    <t>PISO - PISOS</t>
  </si>
  <si>
    <t xml:space="preserve"> 88316 </t>
  </si>
  <si>
    <t>SERVENTE COM ENCARGOS COMPLEMENTARES</t>
  </si>
  <si>
    <t xml:space="preserve"> 88256 </t>
  </si>
  <si>
    <t>AZULEJISTA OU LADRILHEIRO COM ENCARGOS COMPLEMENTARES</t>
  </si>
  <si>
    <t xml:space="preserve"> 00034357 </t>
  </si>
  <si>
    <t>REJUNTE CIMENTICIO, QUALQUER COR</t>
  </si>
  <si>
    <t>KG</t>
  </si>
  <si>
    <t xml:space="preserve"> 00037595 </t>
  </si>
  <si>
    <t>ARGAMASSA COLANTE TIPO AC III</t>
  </si>
  <si>
    <t xml:space="preserve"> 00038195 </t>
  </si>
  <si>
    <t>PISO EM PORCELANATO, BORDA RETA, LISO, MONOCOLOR, ACETINADO OU POLIDO, FORMATO MAIOR QUE 2025 CM2</t>
  </si>
  <si>
    <t>M²</t>
  </si>
  <si>
    <t>14,06</t>
  </si>
  <si>
    <t>PARE - PAREDES/PAINEIS</t>
  </si>
  <si>
    <t xml:space="preserve"> 88278 </t>
  </si>
  <si>
    <t>MONTADOR DE ESTRUTURAS METÁLICAS COM ENCARGOS COMPLEMENTARES</t>
  </si>
  <si>
    <t xml:space="preserve"> 00039413 </t>
  </si>
  <si>
    <t>PLACA / CHAPA DE GESSO ACARTONADO, STANDARD (ST), COR BRANCA, E = 12,5 MM, 1200 X 2400 MM (L X C)</t>
  </si>
  <si>
    <t xml:space="preserve"> 00039443 </t>
  </si>
  <si>
    <t>PARAFUSO DRY WALL, EM ACO ZINCADO, CABECA LENTILHA E PONTA BROCA (LB), LARGURA 4,2 MM, COMPRIMENTO 13 MM</t>
  </si>
  <si>
    <t xml:space="preserve"> 00039422 </t>
  </si>
  <si>
    <t>PERFIL MONTANTE, FORMATO C, EM ACO ZINCADO, PARA ESTRUTURA PAREDE DRYWALL, E = 0,5 MM, 70 X 3000 MM (L X C)</t>
  </si>
  <si>
    <t xml:space="preserve"> 00039419 </t>
  </si>
  <si>
    <t>PERFIL GUIA, FORMATO U, EM ACO ZINCADO, PARA ESTRUTURA PAREDE DRYWALL, E = 0,5 MM, 70 X 3000 MM (L X C)</t>
  </si>
  <si>
    <t xml:space="preserve"> 00039431 </t>
  </si>
  <si>
    <t>FITA DE PAPEL MICROPERFURADO, 50 X 150 MM, PARA TRATAMENTO DE JUNTAS DE CHAPA DE GESSO PARA DRYWALL</t>
  </si>
  <si>
    <t xml:space="preserve"> 00037586 </t>
  </si>
  <si>
    <t>PINO DE ACO COM ARRUELA CONICA, DIAMETRO ARRUELA = *23* MM E COMP HASTE = *27* MM (ACAO INDIRETA)</t>
  </si>
  <si>
    <t>CENTO</t>
  </si>
  <si>
    <t xml:space="preserve"> 00039432 </t>
  </si>
  <si>
    <t>FITA DE PAPEL REFORCADA COM LAMINA DE METAL PARA REFORCO DE CANTOS DE CHAPA DE GESSO PARA DRYWALL</t>
  </si>
  <si>
    <t xml:space="preserve"> 00039434 </t>
  </si>
  <si>
    <t>MASSA DE REJUNTE EM PO PARA DRYWALL, A BASE DE GESSO, SECAGEM RAPIDA, PARA TRATAMENTO DE JUNTAS DE CHAPA DE GESSO (NECESSITA ADICAO DE AGUA)</t>
  </si>
  <si>
    <t xml:space="preserve"> 00039435 </t>
  </si>
  <si>
    <t>PARAFUSO DRY WALL, EM ACO FOSFATIZADO, CABECA TROMBETA E PONTA AGULHA (TA), COMPRIMENTO 25 MM</t>
  </si>
  <si>
    <t>21,09</t>
  </si>
  <si>
    <t>SERP - SERVIÇOS PRELIMINARES</t>
  </si>
  <si>
    <t>4,00</t>
  </si>
  <si>
    <t>REVE - REVESTIMENTO E TRATAMENTO DE SUPERFÍCIES</t>
  </si>
  <si>
    <t xml:space="preserve"> 00039427 </t>
  </si>
  <si>
    <t>PERFIL CANALETA, FORMATO C, EM ACO ZINCADO, PARA ESTRUTURA FORRO DRYWALL, E = 0,5 MM, *46 X 18* (L X H), COMPRIMENTO 3 M</t>
  </si>
  <si>
    <t xml:space="preserve"> 00039430 </t>
  </si>
  <si>
    <t>PENDURAL OU PRESILHA REGULADORA, EM ACO GALVANIZADO, COM CORPO, MOLA E REBITE, PARA PERFIL TIPO CANALETA DE ESTRUTURA EM FORROS DRYWALL</t>
  </si>
  <si>
    <t xml:space="preserve"> 00040547 </t>
  </si>
  <si>
    <t>PARAFUSO ZINCADO, AUTOBROCANTE, FLANGEADO, 4,2 MM X 19 MM</t>
  </si>
  <si>
    <t xml:space="preserve"> 00043131 </t>
  </si>
  <si>
    <t>ARAME GALVANIZADO 6 BWG, D = 5,16 MM (0,157 KG/M), OU 8 BWG, D = 4,19 MM (0,101 KG/M), OU 10 BWG, D = 3,40 MM (0,0713 KG/M)</t>
  </si>
  <si>
    <t>PINT - PINTURAS</t>
  </si>
  <si>
    <t xml:space="preserve"> 88310 </t>
  </si>
  <si>
    <t>PINTOR COM ENCARGOS COMPLEMENTARES</t>
  </si>
  <si>
    <t xml:space="preserve"> 00043626 </t>
  </si>
  <si>
    <t>MASSA CORRIDA PARA SUPERFICIES DE AMBIENTES INTERNOS</t>
  </si>
  <si>
    <t xml:space="preserve"> 00003767 </t>
  </si>
  <si>
    <t>LIXA EM FOLHA PARA PAREDE OU MADEIRA, NUMERO 120, COR VERMELHA</t>
  </si>
  <si>
    <t>37,23</t>
  </si>
  <si>
    <t xml:space="preserve"> 00007356 </t>
  </si>
  <si>
    <t>TINTA LATEX ACRILICA PREMIUM, COR BRANCO FOSCO</t>
  </si>
  <si>
    <t>L</t>
  </si>
  <si>
    <t>190,68</t>
  </si>
  <si>
    <t>51,69</t>
  </si>
  <si>
    <t xml:space="preserve"> 00043776 </t>
  </si>
  <si>
    <t>TINTA A OLEO BRILHANTE, PARA MADEIRAS E METAIS</t>
  </si>
  <si>
    <t xml:space="preserve"> 00005318 </t>
  </si>
  <si>
    <t>DILUENTE AGUARRAS</t>
  </si>
  <si>
    <t>3,36</t>
  </si>
  <si>
    <t xml:space="preserve"> 00043653 </t>
  </si>
  <si>
    <t>FUNDO SINTETICO NIVELADOR BRANCO FOSCO PARA MADEIRA</t>
  </si>
  <si>
    <t xml:space="preserve"> 00006085 </t>
  </si>
  <si>
    <t>SELADOR ACRILICO OPACO PREMIUM INTERIOR/EXTERIOR</t>
  </si>
  <si>
    <t>ESQV - ESQUADRIAS/FERRAGENS/VIDROS</t>
  </si>
  <si>
    <t xml:space="preserve"> 88325 </t>
  </si>
  <si>
    <t>VIDRACEIRO COM ENCARGOS COMPLEMENTARES</t>
  </si>
  <si>
    <t xml:space="preserve"> 00011950 </t>
  </si>
  <si>
    <t>BUCHA DE NYLON SEM ABA S6, COM PARAFUSO DE 4,20 X 40 MM EM ACO ZINCADO COM ROSCA SOBERBA, CABECA CHATA E FENDA PHILLIPS</t>
  </si>
  <si>
    <t xml:space="preserve"> 00034360 </t>
  </si>
  <si>
    <t>PERFIL DE ALUMINIO ANODIZADO</t>
  </si>
  <si>
    <t xml:space="preserve"> 00039961 </t>
  </si>
  <si>
    <t>SILICONE ACETICO USO GERAL INCOLOR 280 G</t>
  </si>
  <si>
    <t xml:space="preserve"> 00010505 </t>
  </si>
  <si>
    <t>VIDRO TEMPERADO INCOLOR E = 6 MM, SEM COLOCACAO</t>
  </si>
  <si>
    <t xml:space="preserve"> 90830 </t>
  </si>
  <si>
    <t>FECHADURA DE EMBUTIR COM CILINDRO, EXTERNA, COMPLETA, ACABAMENTO PADRÃO MÉDIO, INCLUSO EXECUÇÃO DE FURO - FORNECIMENTO E INSTALAÇÃO. AF_12/2019</t>
  </si>
  <si>
    <t xml:space="preserve"> 100659 </t>
  </si>
  <si>
    <t>ALIZAR DE 5X1,5CM PARA PORTA FIXADO COM PREGOS, PADRÃO MÉDIO - FORNECIMENTO E INSTALAÇÃO. AF_12/2019</t>
  </si>
  <si>
    <t xml:space="preserve"> 90806 </t>
  </si>
  <si>
    <t>BATENTE PARA PORTA DE MADEIRA, FIXAÇÃO COM ARGAMASSA, PADRÃO MÉDIO - FORNECIMENTO E INSTALAÇÃO. AF_12/2019</t>
  </si>
  <si>
    <t xml:space="preserve"> 91297 </t>
  </si>
  <si>
    <t>PORTA DE MADEIRA FRISADA, SEMI-OCA (LEVE OU MÉDIA), 80X210CM, ESPESSURA DE 3,5CM, INCLUSO DOBRADIÇAS - FORNECIMENTO E INSTALAÇÃO. AF_12/2019</t>
  </si>
  <si>
    <t>INEL - INSTALAÇÃO ELÉTRICA/ELETRIFICAÇÃO E ILUMINAÇÃO EXTERNA</t>
  </si>
  <si>
    <t xml:space="preserve"> 88247 </t>
  </si>
  <si>
    <t>AUXILIAR DE ELETRICISTA COM ENCARGOS COMPLEMENTARES</t>
  </si>
  <si>
    <t xml:space="preserve"> 88264 </t>
  </si>
  <si>
    <t>ELETRICISTA COM ENCARGOS COMPLEMENTARES</t>
  </si>
  <si>
    <t xml:space="preserve"> 00012147 </t>
  </si>
  <si>
    <t>TOMADA 2P+T 10A, 250V, CONJUNTO MONTADO PARA SOBREPOR 4" X 2" (CAIXA + MODULO)</t>
  </si>
  <si>
    <t>7,00</t>
  </si>
  <si>
    <t xml:space="preserve"> 91952 </t>
  </si>
  <si>
    <t>INTERRUPTOR SIMPLES (1 MÓDULO), 10A/250V, SEM SUPORTE E SEM PLACA - FORNECIMENTO E INSTALAÇÃO. AF_03/2023</t>
  </si>
  <si>
    <t xml:space="preserve"> 91946 </t>
  </si>
  <si>
    <t>SUPORTE PARAFUSADO COM PLACA DE ENCAIXE 4" X 2" MÉDIO (1,30 M DO PISO) PARA PONTO ELÉTRICO - FORNECIMENTO E INSTALAÇÃO. AF_03/2023</t>
  </si>
  <si>
    <t xml:space="preserve"> 00021127 </t>
  </si>
  <si>
    <t>FITA ISOLANTE ADESIVA ANTICHAMA, USO ATE 750 V, EM ROLO DE 19 MM X 5 M</t>
  </si>
  <si>
    <t xml:space="preserve"> 00045214 </t>
  </si>
  <si>
    <t>LUMINARIA PAINEL PLAFON, DE EMBUTIR, SLIM, QUADRADA *60 X 60* CM, EM ALUMINIO ACABAMENTO BRANCO, COM ACRILICO, LAMPADAS LED (24 W A 48 W) E DRIVER BIVOLT</t>
  </si>
  <si>
    <t>3,00</t>
  </si>
  <si>
    <t xml:space="preserve"> 00002674 </t>
  </si>
  <si>
    <t>ELETRODUTO DE PVC RIGIDO ROSCAVEL DE 3/4", SEM LUVA</t>
  </si>
  <si>
    <t>5,94</t>
  </si>
  <si>
    <t xml:space="preserve"> 91170 </t>
  </si>
  <si>
    <t>FIXAÇÃO DE TUBOS HORIZONTAIS DE PVC ÁGUA, PVC ESGOTO, PVC ÁGUA PLUVIAL, CPVC, PPR, COBRE OU AÇO, DIÂMETROS MENORES OU IGUAIS A 40 MM, COM ABRAÇADEIRA METÁLICA RÍGIDA TIPO U PERFIL 1 1/4", FIXADA EM PERFILADO EM LAJE. AF_09/2023_PS</t>
  </si>
  <si>
    <t>INHI - INSTALAÇÕES HIDROS SANITÁRIAS</t>
  </si>
  <si>
    <t xml:space="preserve"> 00002688 </t>
  </si>
  <si>
    <t>ELETRODUTO PVC FLEXIVEL CORRUGADO, COR AMARELA, DE 25 MM</t>
  </si>
  <si>
    <t>7,94</t>
  </si>
  <si>
    <t xml:space="preserve"> 92006 </t>
  </si>
  <si>
    <t>TOMADA BAIXA DE EMBUTIR (2 MÓDULOS), 2P+T 10 A, SEM SUPORTE E SEM PLACA - FORNECIMENTO E INSTALAÇÃO. AF_03/2023</t>
  </si>
  <si>
    <t xml:space="preserve"> 00001872 </t>
  </si>
  <si>
    <t>CAIXA DE PASSAGEM, EM PVC, DE 4" X 2", PARA ELETRODUTO FLEXIVEL CORRUGADO</t>
  </si>
  <si>
    <t xml:space="preserve"> 00001014 </t>
  </si>
  <si>
    <t>CABO DE COBRE, FLEXIVEL, CLASSE 4 OU 5, ISOLACAO EM PVC/A, ANTICHAMA BWF-B, 1 CONDUTOR, 450/750 V, SECAO NOMINAL 2,5 MM2</t>
  </si>
  <si>
    <t>62,65</t>
  </si>
  <si>
    <t xml:space="preserve"> 00007529 </t>
  </si>
  <si>
    <t>!EM PROCESSO DE DESATIVACAO! TOMADA EMBUTIR 2P + T 15A/250V C/PLACA, TIPO SILENTOQUE OU EQUIV</t>
  </si>
  <si>
    <t>INES - INSTALAÇÕES ESPECIAIS</t>
  </si>
  <si>
    <t xml:space="preserve"> 00039596 </t>
  </si>
  <si>
    <t>PATCH PANEL, 24 PORTAS, CATEGORIA 6, COM RACKS DE 19" DE LARGURA E 1 U DE ALTURA</t>
  </si>
  <si>
    <t>Redes de Lógica, Telefonia e Imagem</t>
  </si>
  <si>
    <t xml:space="preserve"> 00045327 </t>
  </si>
  <si>
    <t>RACK DE PAREDE FECHADO DE 12 U EM CHAPA DE ACO, 19", PROFUNDIDADE DE 570 MM</t>
  </si>
  <si>
    <t xml:space="preserve"> 00038099 </t>
  </si>
  <si>
    <t>SUPORTE DE FIXACAO PARA ESPELHO / PLACA 4" X 2", PARA 3 MODULOS, PARA INSTALACAO DE TOMADAS E INTERRUPTORES (SOMENTE SUPORTE)</t>
  </si>
  <si>
    <t xml:space="preserve"> 00038093 </t>
  </si>
  <si>
    <t>ESPELHO / PLACA DE 2 POSTOS 4" X 2", PARA INSTALACAO DE TOMADAS E INTERRUPTORES</t>
  </si>
  <si>
    <t xml:space="preserve"> IP.DPMT.0032 </t>
  </si>
  <si>
    <t>TOMADA RJ45, 8 FIOS, CAT 6 (APENAS MODULO) - 02/2025</t>
  </si>
  <si>
    <t xml:space="preserve"> 00039599 </t>
  </si>
  <si>
    <t>CABO DE REDE, PAR TRANCADO UTP, 4 PARES, CATEGORIA 6 (CAT 6), ISOLAMENTO PVC (LSZH)</t>
  </si>
  <si>
    <t>351,47</t>
  </si>
  <si>
    <t>7,70</t>
  </si>
  <si>
    <t xml:space="preserve"> 00002690 </t>
  </si>
  <si>
    <t>ELETRODUTO PVC FLEXIVEL CORRUGADO, COR AMARELA, DE 32 MM</t>
  </si>
  <si>
    <t>16,28</t>
  </si>
  <si>
    <t xml:space="preserve"> 00039246 </t>
  </si>
  <si>
    <t>ELETRODUTO/DUTO PEAD FLEXIVEL PAREDE SIMPLES, CORRUGACAO HELICOIDAL, COR PRETA, SEM ROSCA, DE 1 1/2", CRC 680 N, PARA CABEAMENTO SUBTERRANEO (NBR 15715)</t>
  </si>
  <si>
    <t>3,96</t>
  </si>
  <si>
    <t xml:space="preserve"> 00002446 </t>
  </si>
  <si>
    <t>ELETRODUTO/DUTO PEAD FLEXIVEL PAREDE SIMPLES, CORRUGACAO HELICOIDAL, COR PRETA, SEM ROSCA, DE 2", CRC 680 N, PARA CABEAMENTO SUBTERRANEO (NBR 15715)</t>
  </si>
  <si>
    <t>3,52</t>
  </si>
  <si>
    <t xml:space="preserve"> IP.DPMT.0033 </t>
  </si>
  <si>
    <t>TOMADA RJ45 CAT 5E 2 MÓDULOS E PLACA 4"x2" BRANCA + SUPORTE</t>
  </si>
  <si>
    <t xml:space="preserve"> 00039603 </t>
  </si>
  <si>
    <t>CONECTOR MACHO RJ 45, CATEGORIA 6 (CAT 6) PARA CABOS</t>
  </si>
  <si>
    <t>6,00</t>
  </si>
  <si>
    <t xml:space="preserve"> IP.DPMT.0408 </t>
  </si>
  <si>
    <t>GUIA DE CABOS 1U - ABERTO, PVC OU POLÍMERO COM MÍNIMO 10 FINGERS - 02/2025</t>
  </si>
  <si>
    <t xml:space="preserve"> IP.DPMT.0409 </t>
  </si>
  <si>
    <t>ORGANIZADOR DE CABOS TIPO VELCRO - 02/2025</t>
  </si>
  <si>
    <t xml:space="preserve"> 00039607 </t>
  </si>
  <si>
    <t>PATCH CORD (CABO DE REDE), CATEGORIA 6 (CAT 6) UTP, 23 AWG, 4 PARES, EXTENSAO DE 2,50 M</t>
  </si>
  <si>
    <t>19,00</t>
  </si>
  <si>
    <t>18,00</t>
  </si>
  <si>
    <t>16,83</t>
  </si>
  <si>
    <t xml:space="preserve"> IP.DPMT.0410 </t>
  </si>
  <si>
    <t>PDU 12 TOMADAS NBR14136, 20A, COM FUSÍVEL E CHAVE COMUTADORA</t>
  </si>
  <si>
    <t xml:space="preserve"> 88242 </t>
  </si>
  <si>
    <t>AJUDANTE DE PEDREIRO COM ENCARGOS COMPLEMENTARES</t>
  </si>
  <si>
    <t xml:space="preserve"> IP.DPMT.0270 </t>
  </si>
  <si>
    <t>LOCAÇÃO DE CAÇAMBA BOTA FORA 5M3</t>
  </si>
  <si>
    <t>Aluguel</t>
  </si>
  <si>
    <t xml:space="preserve"> 00044331 </t>
  </si>
  <si>
    <t>LIMPA VIDROS COM PULVERIZADOR</t>
  </si>
  <si>
    <t xml:space="preserve"> 00044329 </t>
  </si>
  <si>
    <t>DETERGENTE NEUTRO USO GERAL, CONCENTRADO</t>
  </si>
  <si>
    <t>1,60</t>
  </si>
  <si>
    <t>Desconto</t>
  </si>
  <si>
    <t>Total com BDI e Desconto</t>
  </si>
  <si>
    <t>Total do Desconto</t>
  </si>
  <si>
    <t>_______________________________________________________________
Eng. Civil Adriano Augusto
Assessor Especial</t>
  </si>
  <si>
    <t>Cronograma Físico e Financeiro</t>
  </si>
  <si>
    <t>Total Por Etapa</t>
  </si>
  <si>
    <t>30 DIAS</t>
  </si>
  <si>
    <t>Porcentagem</t>
  </si>
  <si>
    <t>Custo</t>
  </si>
  <si>
    <t>Porcentagem Acumulado</t>
  </si>
  <si>
    <t>Custo Acumulado</t>
  </si>
  <si>
    <t>Defensoria</t>
  </si>
  <si>
    <t xml:space="preserve">                             Obra</t>
  </si>
  <si>
    <t>Descontos</t>
  </si>
  <si>
    <t>REFORMA PREDIAL - SEDE ADMINISTRATIVA</t>
  </si>
  <si>
    <t>27,54%</t>
  </si>
  <si>
    <t>Não Desonerado: embutido nos preços unitário dos insumos de mão de obra, de acordo com as bases.</t>
  </si>
  <si>
    <t>Mapa de Cotação</t>
  </si>
  <si>
    <t>COTAÇÃO</t>
  </si>
  <si>
    <t>DESCRIÇÃO</t>
  </si>
  <si>
    <t>UNID.</t>
  </si>
  <si>
    <t xml:space="preserve">COTAÇÃO "A" </t>
  </si>
  <si>
    <t xml:space="preserve">COTAÇÃO "B" </t>
  </si>
  <si>
    <t xml:space="preserve">COTAÇÃO "C" </t>
  </si>
  <si>
    <t>MEDIANA VALOR (R$)</t>
  </si>
  <si>
    <t xml:space="preserve">LOJA "A" </t>
  </si>
  <si>
    <t>DATA</t>
  </si>
  <si>
    <t>PREÇO UNIT.</t>
  </si>
  <si>
    <t xml:space="preserve">LOJA "B" </t>
  </si>
  <si>
    <t xml:space="preserve">LOJA"C" </t>
  </si>
  <si>
    <t>IP.DPMT.0408</t>
  </si>
  <si>
    <t>Guia de cabos 1u - aberto, pvc ou polímero, com mínimo 10 "fingers"</t>
  </si>
  <si>
    <t>https://www.kabum.com.br/produto/407793/guia-organizador-cabos-1u-x-19?srsltid=AfmBOoq9Z5zoJStje2-PL1lGfBUtsTcbmGmFeCohDXe2bhxzTG6Yr5MpJuU</t>
  </si>
  <si>
    <t>https://www.leroymerlin.com.br/guia-organizador-cabos-1u-x-19_1570519276?region=outros</t>
  </si>
  <si>
    <t>https://www.madeiramadeira.com.br/guia-organizador-cabos-1u-x-19-793174487.html</t>
  </si>
  <si>
    <t>IP.DPMT.0409</t>
  </si>
  <si>
    <t>Organizador de cabos Velcro - 10m</t>
  </si>
  <si>
    <t>https://produto.mercadolivre.com.br/MLB-3994572772-fita-fecho-de-contato-organizador-de-cabos-rolo-10m-x-30mm-_JM?matt_tool=79588531&amp;matt_word=&amp;matt_source=google&amp;matt_campaign_id=14302215549&amp;matt_ad_group_id=150144483287&amp;matt_match_type=&amp;matt_network=g&amp;matt_device=c&amp;matt_creative=649447138068&amp;matt_keyword=&amp;matt_ad_position=&amp;matt_ad_type=pla&amp;matt_merchant_id=672335086&amp;matt_product_id=MLB3994572772&amp;matt_product_partition_id=1961639528326&amp;matt_target_id=aud-1966490908987:pla-1961639528326&amp;cq_src=google_ads&amp;cq_cmp=14302215549&amp;cq_net=g&amp;cq_plt=gp&amp;cq_med=pla&amp;gad_source=4&amp;gclid=Cj0KCQjw5ea1BhC6ARIsAEOG5pxAzRN6evIB7WIH1mvkc00Nxx68X1Pr4NH6dvk66eilC7oGiPtQFUAaAiz-EALw_wcB</t>
  </si>
  <si>
    <t>https://www.americanas.com.br/produto/7470111657/fita-fecho-de-contato-organizador-de-cabos-preto-rolo-10m-x-30mm?offerId=66676680f85575c569224ddc&amp;opn=YSMESP&amp;epar=bp_pl_px_go_pmax_cec_3p_outros_geral_2&amp;gclsrc=aw.ds&amp;gad_source=4&amp;gclid=Cj0KCQjw5ea1BhC6ARIsAEOG5pyOCtIiXUXH2Yrq9CjM-wYDZyGHL8Y6eWePTrf1zEzy8Y6eVgUKJ-YaAnsQEALw_wcB</t>
  </si>
  <si>
    <t>https://www.47eletrica.com.br/fita-fecho-de-contato-organizador-de-cabos-cor-preto-rolo-10m-x-40mm?utm_source=google&amp;utm_medium=Shopping&amp;utm_campaign=fita-fecho-de-contato-organizador-de-cabos-cor-preto-rolo-10m-x-40mm&amp;inStock&amp;gad_source=4&amp;gclid=Cj0KCQjw5ea1BhC6ARIsAEOG5pylcPlGoaDneNP10_b3owigOxlnEVe5Dthugr1y0h30N6s9pYbSyEsaArUAEALw_wcB#derivacao=951</t>
  </si>
  <si>
    <t>IP.DPMT.0410</t>
  </si>
  <si>
    <t>PDU 12 tomadas, NBR14136, 20A, com fusível e chave comutadora</t>
  </si>
  <si>
    <t>https://www.magazineluiza.com.br/pdu-20a-com-12-tomadas-padrao-nbr14136-8x10a-e-4x20a-casa-das-tomadas/p/gb381740b4/in/fdla/?utm_content=none_roa_ven_geral_pla_tod_3p&amp;utm_source=google&amp;utm_medium=cpc&amp;seller_id=olistplus&amp;srsltid=AfmBOoo3QRWgoOZH9uxgZLOyFqTayO46W_gY-kdx77UZc69CXdbxojBNkrk</t>
  </si>
  <si>
    <t>https://www.americanas.com.br/produto/3148448071/pdu-10a-com-12-tomadas-45-graus-padrao-nbr14136-10a?offerId=6072a9b30c07044266cd4ee8&amp;opn=YSMESP&amp;srsltid=AfmBOorixwPCPvvXxSVsXjV8pLaX6oQ81HNj5nZ4nFjHWtVyNwhoH7WBrK4</t>
  </si>
  <si>
    <t>https://www.mercadolivre.com.br/pdu-28a-com-8-tomadas-verticais-padro-nbr14136-10a/p/MLB38799276?matt_tool=18956390&amp;utm_source=google_shopping&amp;utm_medium=organic&amp;item_id=MLB4966575388&amp;from=gshop</t>
  </si>
  <si>
    <t xml:space="preserve"> 3.8 </t>
  </si>
  <si>
    <t xml:space="preserve"> 88496 </t>
  </si>
  <si>
    <t>EMASSAMENTO COM MASSA LÁTEX, APLICAÇÃO EM TETO, DUAS DEMÃOS, LIXAMENTO MANUAL. AF_04/2023</t>
  </si>
  <si>
    <t xml:space="preserve"> 4.3 </t>
  </si>
  <si>
    <t xml:space="preserve"> 101965 </t>
  </si>
  <si>
    <t>PEITORIL LINEAR EM GRANITO OU MÁRMORE, L = 15CM, ASSENTADO COM ARGAMASSA 1:6 COM ADITIVO. AF_11/2020</t>
  </si>
  <si>
    <t>42,18</t>
  </si>
  <si>
    <t xml:space="preserve"> 91693 </t>
  </si>
  <si>
    <t>SERRA CIRCULAR DE BANCADA COM MOTOR ELÉTRICO POTÊNCIA DE 5HP, COM COIFA PARA DISCO 10" - CHI DIURNO. AF_08/2015</t>
  </si>
  <si>
    <t>CHOR - CUSTOS HORÁRIOS DE MÁQUINAS E EQUIPAMENTOS</t>
  </si>
  <si>
    <t>CHI</t>
  </si>
  <si>
    <t xml:space="preserve"> 87283 </t>
  </si>
  <si>
    <t>ARGAMASSA TRAÇO 1:6 (EM VOLUME DE CIMENTO E AREIA MÉDIA ÚMIDA) COM ADIÇÃO DE PLASTIFICANTE PARA EMBOÇO/MASSA ÚNICA/ASSENTAMENTO DE ALVENARIA DE VEDAÇÃO, PREPARO MECÂNICO COM BETONEIRA 400 L. AF_08/2019</t>
  </si>
  <si>
    <t>m³</t>
  </si>
  <si>
    <t xml:space="preserve"> 91692 </t>
  </si>
  <si>
    <t>SERRA CIRCULAR DE BANCADA COM MOTOR ELÉTRICO POTÊNCIA DE 5HP, COM COIFA PARA DISCO 10" - CHP DIURNO. AF_08/2015</t>
  </si>
  <si>
    <t>CHP</t>
  </si>
  <si>
    <t xml:space="preserve"> 88274 </t>
  </si>
  <si>
    <t>MARMORISTA/GRANITEIRO COM ENCARGOS COMPLEMENTARES</t>
  </si>
  <si>
    <t xml:space="preserve"> 00034747 </t>
  </si>
  <si>
    <t>PEITORIL EM MARMORE, POLIDO, BRANCO COMUM, L= *15* CM, E= *2,0* CM, COM PINGADEIRA</t>
  </si>
  <si>
    <t>0,80</t>
  </si>
  <si>
    <t>0,60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</si>
</sst>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\ %"/>
    <numFmt numFmtId="165" formatCode="#,##0.0000000"/>
    <numFmt numFmtId="166" formatCode="&quot;R$&quot;\ #,##0.00"/>
  </numFmts>
  <fonts count="25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1"/>
      <name val="Arial"/>
      <family val="1"/>
    </font>
    <font>
      <u/>
      <sz val="11"/>
      <color theme="10"/>
      <name val="Arial"/>
      <family val="1"/>
    </font>
    <font>
      <b/>
      <sz val="11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44" fontId="19" fillId="0" borderId="0" applyFont="0" applyFill="0" applyBorder="0" applyAlignment="0" applyProtection="0"/>
  </cellStyleXfs>
  <cellXfs count="119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right" vertical="top" wrapText="1"/>
    </xf>
    <xf numFmtId="0" fontId="6" fillId="6" borderId="3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right" vertical="top" wrapText="1"/>
    </xf>
    <xf numFmtId="4" fontId="8" fillId="8" borderId="5" xfId="0" applyNumberFormat="1" applyFont="1" applyFill="1" applyBorder="1" applyAlignment="1">
      <alignment horizontal="right" vertical="top" wrapText="1"/>
    </xf>
    <xf numFmtId="164" fontId="9" fillId="9" borderId="6" xfId="0" applyNumberFormat="1" applyFont="1" applyFill="1" applyBorder="1" applyAlignment="1">
      <alignment horizontal="right" vertical="top" wrapText="1"/>
    </xf>
    <xf numFmtId="0" fontId="13" fillId="12" borderId="0" xfId="0" applyFont="1" applyFill="1" applyAlignment="1">
      <alignment horizontal="left" vertical="top" wrapText="1"/>
    </xf>
    <xf numFmtId="0" fontId="14" fillId="13" borderId="0" xfId="0" applyFont="1" applyFill="1" applyAlignment="1">
      <alignment horizontal="center" vertical="top" wrapText="1"/>
    </xf>
    <xf numFmtId="0" fontId="15" fillId="14" borderId="0" xfId="0" applyFont="1" applyFill="1" applyAlignment="1">
      <alignment horizontal="right" vertical="top" wrapText="1"/>
    </xf>
    <xf numFmtId="0" fontId="17" fillId="16" borderId="0" xfId="0" applyFont="1" applyFill="1" applyAlignment="1">
      <alignment horizontal="left" vertical="top" wrapText="1"/>
    </xf>
    <xf numFmtId="0" fontId="18" fillId="17" borderId="0" xfId="0" applyFont="1" applyFill="1" applyAlignment="1">
      <alignment horizontal="center" vertical="top" wrapText="1"/>
    </xf>
    <xf numFmtId="0" fontId="2" fillId="21" borderId="0" xfId="0" applyFont="1" applyFill="1" applyAlignment="1">
      <alignment horizontal="left" vertical="top" wrapText="1"/>
    </xf>
    <xf numFmtId="0" fontId="10" fillId="21" borderId="0" xfId="0" applyFont="1" applyFill="1" applyAlignment="1">
      <alignment horizontal="left" vertical="top" wrapText="1"/>
    </xf>
    <xf numFmtId="0" fontId="2" fillId="21" borderId="8" xfId="0" applyFont="1" applyFill="1" applyBorder="1" applyAlignment="1">
      <alignment horizontal="left" vertical="top" wrapText="1"/>
    </xf>
    <xf numFmtId="0" fontId="2" fillId="21" borderId="8" xfId="0" applyFont="1" applyFill="1" applyBorder="1" applyAlignment="1">
      <alignment horizontal="right" vertical="top" wrapText="1"/>
    </xf>
    <xf numFmtId="0" fontId="2" fillId="21" borderId="8" xfId="0" applyFont="1" applyFill="1" applyBorder="1" applyAlignment="1">
      <alignment horizontal="center" vertical="top" wrapText="1"/>
    </xf>
    <xf numFmtId="0" fontId="6" fillId="18" borderId="8" xfId="0" applyFont="1" applyFill="1" applyBorder="1" applyAlignment="1">
      <alignment horizontal="left" vertical="top" wrapText="1"/>
    </xf>
    <xf numFmtId="0" fontId="6" fillId="18" borderId="8" xfId="0" applyFont="1" applyFill="1" applyBorder="1" applyAlignment="1">
      <alignment horizontal="center" vertical="top" wrapText="1"/>
    </xf>
    <xf numFmtId="0" fontId="6" fillId="18" borderId="8" xfId="0" applyFont="1" applyFill="1" applyBorder="1" applyAlignment="1">
      <alignment horizontal="right" vertical="top" wrapText="1"/>
    </xf>
    <xf numFmtId="4" fontId="6" fillId="18" borderId="8" xfId="0" applyNumberFormat="1" applyFont="1" applyFill="1" applyBorder="1" applyAlignment="1">
      <alignment horizontal="right" vertical="top" wrapText="1"/>
    </xf>
    <xf numFmtId="164" fontId="6" fillId="18" borderId="8" xfId="0" applyNumberFormat="1" applyFont="1" applyFill="1" applyBorder="1" applyAlignment="1">
      <alignment horizontal="right" vertical="top" wrapText="1"/>
    </xf>
    <xf numFmtId="0" fontId="11" fillId="19" borderId="8" xfId="0" applyFont="1" applyFill="1" applyBorder="1" applyAlignment="1">
      <alignment horizontal="center" vertical="top" wrapText="1"/>
    </xf>
    <xf numFmtId="0" fontId="11" fillId="19" borderId="8" xfId="0" applyFont="1" applyFill="1" applyBorder="1" applyAlignment="1">
      <alignment horizontal="right" vertical="top" wrapText="1"/>
    </xf>
    <xf numFmtId="4" fontId="11" fillId="19" borderId="8" xfId="0" applyNumberFormat="1" applyFont="1" applyFill="1" applyBorder="1" applyAlignment="1">
      <alignment horizontal="right" vertical="top" wrapText="1"/>
    </xf>
    <xf numFmtId="164" fontId="11" fillId="19" borderId="8" xfId="0" applyNumberFormat="1" applyFont="1" applyFill="1" applyBorder="1" applyAlignment="1">
      <alignment horizontal="right" vertical="top" wrapText="1"/>
    </xf>
    <xf numFmtId="0" fontId="11" fillId="20" borderId="8" xfId="0" applyFont="1" applyFill="1" applyBorder="1" applyAlignment="1">
      <alignment horizontal="center" vertical="top" wrapText="1"/>
    </xf>
    <xf numFmtId="0" fontId="11" fillId="20" borderId="8" xfId="0" applyFont="1" applyFill="1" applyBorder="1" applyAlignment="1">
      <alignment horizontal="right" vertical="top" wrapText="1"/>
    </xf>
    <xf numFmtId="4" fontId="11" fillId="20" borderId="8" xfId="0" applyNumberFormat="1" applyFont="1" applyFill="1" applyBorder="1" applyAlignment="1">
      <alignment horizontal="right" vertical="top" wrapText="1"/>
    </xf>
    <xf numFmtId="164" fontId="11" fillId="20" borderId="8" xfId="0" applyNumberFormat="1" applyFont="1" applyFill="1" applyBorder="1" applyAlignment="1">
      <alignment horizontal="right" vertical="top" wrapText="1"/>
    </xf>
    <xf numFmtId="0" fontId="12" fillId="21" borderId="0" xfId="0" applyFont="1" applyFill="1" applyAlignment="1">
      <alignment horizontal="center" vertical="top" wrapText="1"/>
    </xf>
    <xf numFmtId="0" fontId="12" fillId="21" borderId="0" xfId="0" applyFont="1" applyFill="1" applyAlignment="1">
      <alignment horizontal="left" vertical="top" wrapText="1"/>
    </xf>
    <xf numFmtId="0" fontId="10" fillId="21" borderId="0" xfId="0" applyFont="1" applyFill="1" applyAlignment="1">
      <alignment horizontal="right" vertical="top" wrapText="1"/>
    </xf>
    <xf numFmtId="0" fontId="10" fillId="21" borderId="0" xfId="0" applyFont="1" applyFill="1" applyAlignment="1">
      <alignment horizontal="center" vertical="top" wrapText="1"/>
    </xf>
    <xf numFmtId="165" fontId="11" fillId="19" borderId="8" xfId="0" applyNumberFormat="1" applyFont="1" applyFill="1" applyBorder="1" applyAlignment="1">
      <alignment horizontal="right" vertical="top" wrapText="1"/>
    </xf>
    <xf numFmtId="0" fontId="12" fillId="10" borderId="8" xfId="0" applyFont="1" applyFill="1" applyBorder="1" applyAlignment="1">
      <alignment horizontal="right" vertical="top" wrapText="1"/>
    </xf>
    <xf numFmtId="0" fontId="12" fillId="10" borderId="8" xfId="0" applyFont="1" applyFill="1" applyBorder="1" applyAlignment="1">
      <alignment horizontal="center" vertical="top" wrapText="1"/>
    </xf>
    <xf numFmtId="165" fontId="12" fillId="10" borderId="8" xfId="0" applyNumberFormat="1" applyFont="1" applyFill="1" applyBorder="1" applyAlignment="1">
      <alignment horizontal="right" vertical="top" wrapText="1"/>
    </xf>
    <xf numFmtId="4" fontId="12" fillId="10" borderId="8" xfId="0" applyNumberFormat="1" applyFont="1" applyFill="1" applyBorder="1" applyAlignment="1">
      <alignment horizontal="right" vertical="top" wrapText="1"/>
    </xf>
    <xf numFmtId="0" fontId="12" fillId="11" borderId="8" xfId="0" applyFont="1" applyFill="1" applyBorder="1" applyAlignment="1">
      <alignment horizontal="right" vertical="top" wrapText="1"/>
    </xf>
    <xf numFmtId="0" fontId="12" fillId="11" borderId="8" xfId="0" applyFont="1" applyFill="1" applyBorder="1" applyAlignment="1">
      <alignment horizontal="center" vertical="top" wrapText="1"/>
    </xf>
    <xf numFmtId="165" fontId="12" fillId="11" borderId="8" xfId="0" applyNumberFormat="1" applyFont="1" applyFill="1" applyBorder="1" applyAlignment="1">
      <alignment horizontal="right" vertical="top" wrapText="1"/>
    </xf>
    <xf numFmtId="4" fontId="12" fillId="11" borderId="8" xfId="0" applyNumberFormat="1" applyFont="1" applyFill="1" applyBorder="1" applyAlignment="1">
      <alignment horizontal="right" vertical="top" wrapText="1"/>
    </xf>
    <xf numFmtId="4" fontId="12" fillId="21" borderId="0" xfId="0" applyNumberFormat="1" applyFont="1" applyFill="1" applyAlignment="1">
      <alignment horizontal="right" vertical="top" wrapText="1"/>
    </xf>
    <xf numFmtId="165" fontId="10" fillId="21" borderId="0" xfId="0" applyNumberFormat="1" applyFont="1" applyFill="1" applyAlignment="1">
      <alignment horizontal="right" vertical="top" wrapText="1"/>
    </xf>
    <xf numFmtId="4" fontId="10" fillId="21" borderId="0" xfId="0" applyNumberFormat="1" applyFont="1" applyFill="1" applyAlignment="1">
      <alignment horizontal="right" vertical="top" wrapText="1"/>
    </xf>
    <xf numFmtId="0" fontId="11" fillId="19" borderId="7" xfId="0" applyFont="1" applyFill="1" applyBorder="1" applyAlignment="1">
      <alignment horizontal="left" vertical="top" wrapText="1"/>
    </xf>
    <xf numFmtId="165" fontId="11" fillId="20" borderId="8" xfId="0" applyNumberFormat="1" applyFont="1" applyFill="1" applyBorder="1" applyAlignment="1">
      <alignment horizontal="right" vertical="top" wrapText="1"/>
    </xf>
    <xf numFmtId="0" fontId="2" fillId="2" borderId="0" xfId="0" applyFont="1" applyFill="1" applyAlignment="1">
      <alignment vertical="top" wrapText="1"/>
    </xf>
    <xf numFmtId="0" fontId="13" fillId="12" borderId="0" xfId="0" applyFont="1" applyFill="1" applyAlignment="1">
      <alignment vertical="top" wrapText="1"/>
    </xf>
    <xf numFmtId="10" fontId="13" fillId="12" borderId="0" xfId="2" applyNumberFormat="1" applyFont="1" applyFill="1" applyAlignment="1">
      <alignment vertical="top" wrapText="1"/>
    </xf>
    <xf numFmtId="10" fontId="10" fillId="21" borderId="0" xfId="2" applyNumberFormat="1" applyFont="1" applyFill="1" applyAlignment="1">
      <alignment vertical="top" wrapText="1"/>
    </xf>
    <xf numFmtId="4" fontId="0" fillId="0" borderId="0" xfId="0" applyNumberFormat="1"/>
    <xf numFmtId="0" fontId="2" fillId="2" borderId="0" xfId="0" applyFont="1" applyFill="1" applyAlignment="1">
      <alignment horizontal="center" vertical="top" wrapText="1"/>
    </xf>
    <xf numFmtId="0" fontId="2" fillId="21" borderId="0" xfId="0" applyFont="1" applyFill="1" applyAlignment="1">
      <alignment horizontal="center" vertical="top" wrapText="1"/>
    </xf>
    <xf numFmtId="43" fontId="6" fillId="18" borderId="8" xfId="1" applyFont="1" applyFill="1" applyBorder="1" applyAlignment="1">
      <alignment horizontal="right" vertical="top" wrapText="1"/>
    </xf>
    <xf numFmtId="43" fontId="11" fillId="18" borderId="9" xfId="1" applyFont="1" applyFill="1" applyBorder="1" applyAlignment="1">
      <alignment horizontal="right" vertical="top" wrapText="1"/>
    </xf>
    <xf numFmtId="10" fontId="10" fillId="21" borderId="0" xfId="0" applyNumberFormat="1" applyFont="1" applyFill="1" applyAlignment="1">
      <alignment horizontal="right" vertical="top" wrapText="1"/>
    </xf>
    <xf numFmtId="0" fontId="0" fillId="0" borderId="0" xfId="0"/>
    <xf numFmtId="0" fontId="0" fillId="0" borderId="0" xfId="0"/>
    <xf numFmtId="0" fontId="10" fillId="21" borderId="0" xfId="0" applyFont="1" applyFill="1" applyAlignment="1">
      <alignment horizontal="right" vertical="top" wrapText="1"/>
    </xf>
    <xf numFmtId="4" fontId="10" fillId="21" borderId="0" xfId="0" applyNumberFormat="1" applyFont="1" applyFill="1" applyAlignment="1">
      <alignment horizontal="right" vertical="top" wrapText="1"/>
    </xf>
    <xf numFmtId="0" fontId="12" fillId="21" borderId="0" xfId="0" applyFont="1" applyFill="1" applyAlignment="1">
      <alignment horizontal="right" vertical="top" wrapText="1"/>
    </xf>
    <xf numFmtId="0" fontId="2" fillId="21" borderId="8" xfId="0" applyFont="1" applyFill="1" applyBorder="1" applyAlignment="1">
      <alignment horizontal="left" vertical="top" wrapText="1"/>
    </xf>
    <xf numFmtId="0" fontId="6" fillId="18" borderId="8" xfId="0" applyFont="1" applyFill="1" applyBorder="1" applyAlignment="1">
      <alignment horizontal="left" vertical="top" wrapText="1"/>
    </xf>
    <xf numFmtId="0" fontId="11" fillId="19" borderId="8" xfId="0" applyFont="1" applyFill="1" applyBorder="1" applyAlignment="1">
      <alignment horizontal="left" vertical="top" wrapText="1"/>
    </xf>
    <xf numFmtId="0" fontId="12" fillId="10" borderId="8" xfId="0" applyFont="1" applyFill="1" applyBorder="1" applyAlignment="1">
      <alignment horizontal="left" vertical="top" wrapText="1"/>
    </xf>
    <xf numFmtId="0" fontId="12" fillId="11" borderId="8" xfId="0" applyFont="1" applyFill="1" applyBorder="1" applyAlignment="1">
      <alignment horizontal="left" vertical="top" wrapText="1"/>
    </xf>
    <xf numFmtId="0" fontId="11" fillId="20" borderId="8" xfId="0" applyFont="1" applyFill="1" applyBorder="1" applyAlignment="1">
      <alignment horizontal="left" vertical="top" wrapText="1"/>
    </xf>
    <xf numFmtId="0" fontId="21" fillId="22" borderId="0" xfId="0" applyFont="1" applyFill="1" applyAlignment="1">
      <alignment horizontal="center" vertical="center" wrapText="1"/>
    </xf>
    <xf numFmtId="0" fontId="2" fillId="22" borderId="0" xfId="0" quotePrefix="1" applyFont="1" applyFill="1" applyAlignment="1">
      <alignment horizontal="left" vertical="center" wrapText="1"/>
    </xf>
    <xf numFmtId="0" fontId="2" fillId="22" borderId="0" xfId="0" applyFont="1" applyFill="1" applyAlignment="1">
      <alignment horizontal="center" vertical="top" wrapText="1"/>
    </xf>
    <xf numFmtId="0" fontId="22" fillId="22" borderId="0" xfId="0" applyFont="1" applyFill="1" applyAlignment="1">
      <alignment horizontal="center" vertical="center" wrapText="1"/>
    </xf>
    <xf numFmtId="0" fontId="10" fillId="22" borderId="0" xfId="0" applyFont="1" applyFill="1" applyAlignment="1">
      <alignment horizontal="left" vertical="top" wrapText="1"/>
    </xf>
    <xf numFmtId="0" fontId="10" fillId="22" borderId="0" xfId="0" applyFont="1" applyFill="1" applyAlignment="1">
      <alignment horizontal="center" vertical="top" wrapText="1"/>
    </xf>
    <xf numFmtId="10" fontId="10" fillId="22" borderId="0" xfId="0" applyNumberFormat="1" applyFont="1" applyFill="1" applyAlignment="1">
      <alignment horizontal="center" vertical="top" wrapText="1"/>
    </xf>
    <xf numFmtId="0" fontId="23" fillId="25" borderId="11" xfId="4" applyFont="1" applyFill="1" applyBorder="1" applyAlignment="1">
      <alignment horizontal="center" vertical="center"/>
    </xf>
    <xf numFmtId="166" fontId="23" fillId="25" borderId="11" xfId="4" applyNumberFormat="1" applyFont="1" applyFill="1" applyBorder="1" applyAlignment="1">
      <alignment horizontal="center" vertical="center"/>
    </xf>
    <xf numFmtId="0" fontId="21" fillId="0" borderId="11" xfId="4" applyFont="1" applyBorder="1" applyAlignment="1">
      <alignment horizontal="center" vertical="center"/>
    </xf>
    <xf numFmtId="0" fontId="24" fillId="0" borderId="11" xfId="4" applyFont="1" applyBorder="1" applyAlignment="1">
      <alignment vertical="center" wrapText="1"/>
    </xf>
    <xf numFmtId="0" fontId="24" fillId="0" borderId="11" xfId="4" applyFont="1" applyBorder="1" applyAlignment="1">
      <alignment horizontal="center" vertical="center"/>
    </xf>
    <xf numFmtId="14" fontId="24" fillId="0" borderId="11" xfId="4" applyNumberFormat="1" applyFont="1" applyBorder="1" applyAlignment="1">
      <alignment horizontal="center" vertical="center"/>
    </xf>
    <xf numFmtId="44" fontId="24" fillId="0" borderId="11" xfId="5" applyFont="1" applyBorder="1" applyAlignment="1">
      <alignment vertical="center"/>
    </xf>
    <xf numFmtId="166" fontId="21" fillId="24" borderId="11" xfId="4" applyNumberFormat="1" applyFont="1" applyFill="1" applyBorder="1" applyAlignment="1">
      <alignment horizontal="center" vertical="center"/>
    </xf>
    <xf numFmtId="166" fontId="0" fillId="0" borderId="0" xfId="0" applyNumberFormat="1"/>
    <xf numFmtId="0" fontId="21" fillId="0" borderId="0" xfId="0" applyFont="1" applyAlignment="1">
      <alignment horizontal="center" vertical="center"/>
    </xf>
    <xf numFmtId="0" fontId="20" fillId="0" borderId="11" xfId="3" applyBorder="1" applyAlignment="1">
      <alignment horizontal="center" vertical="center" wrapText="1"/>
    </xf>
    <xf numFmtId="0" fontId="24" fillId="0" borderId="11" xfId="4" applyFont="1" applyBorder="1" applyAlignment="1">
      <alignment horizontal="center" vertical="center" wrapText="1"/>
    </xf>
    <xf numFmtId="0" fontId="20" fillId="0" borderId="11" xfId="3" applyBorder="1" applyAlignment="1">
      <alignment wrapText="1"/>
    </xf>
    <xf numFmtId="0" fontId="15" fillId="14" borderId="0" xfId="0" applyFont="1" applyFill="1" applyAlignment="1">
      <alignment horizontal="right" vertical="top" wrapText="1"/>
    </xf>
    <xf numFmtId="0" fontId="13" fillId="12" borderId="0" xfId="0" applyFont="1" applyFill="1" applyAlignment="1">
      <alignment horizontal="left" vertical="top" wrapText="1"/>
    </xf>
    <xf numFmtId="4" fontId="16" fillId="15" borderId="0" xfId="0" applyNumberFormat="1" applyFont="1" applyFill="1" applyAlignment="1">
      <alignment horizontal="right" vertical="top" wrapText="1"/>
    </xf>
    <xf numFmtId="0" fontId="18" fillId="17" borderId="0" xfId="0" applyFont="1" applyFill="1" applyAlignment="1">
      <alignment horizontal="center" vertical="top" wrapText="1"/>
    </xf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wrapText="1"/>
    </xf>
    <xf numFmtId="0" fontId="4" fillId="4" borderId="1" xfId="0" applyFont="1" applyFill="1" applyBorder="1" applyAlignment="1">
      <alignment horizontal="left" vertical="top" wrapText="1"/>
    </xf>
    <xf numFmtId="0" fontId="10" fillId="21" borderId="0" xfId="0" applyFont="1" applyFill="1" applyAlignment="1">
      <alignment horizontal="right" vertical="top" wrapText="1"/>
    </xf>
    <xf numFmtId="0" fontId="10" fillId="21" borderId="0" xfId="0" applyFont="1" applyFill="1" applyAlignment="1">
      <alignment horizontal="left" vertical="top" wrapText="1"/>
    </xf>
    <xf numFmtId="4" fontId="10" fillId="21" borderId="0" xfId="0" applyNumberFormat="1" applyFont="1" applyFill="1" applyAlignment="1">
      <alignment horizontal="right" vertical="top" wrapText="1"/>
    </xf>
    <xf numFmtId="0" fontId="12" fillId="21" borderId="0" xfId="0" applyFont="1" applyFill="1" applyAlignment="1">
      <alignment horizontal="center" vertical="top" wrapText="1"/>
    </xf>
    <xf numFmtId="0" fontId="2" fillId="21" borderId="0" xfId="0" applyFont="1" applyFill="1" applyAlignment="1">
      <alignment horizontal="left" vertical="top" wrapText="1"/>
    </xf>
    <xf numFmtId="0" fontId="2" fillId="21" borderId="0" xfId="0" applyFont="1" applyFill="1" applyAlignment="1">
      <alignment horizontal="center" wrapText="1"/>
    </xf>
    <xf numFmtId="0" fontId="12" fillId="21" borderId="0" xfId="0" applyFont="1" applyFill="1" applyAlignment="1">
      <alignment horizontal="right" vertical="top" wrapText="1"/>
    </xf>
    <xf numFmtId="0" fontId="12" fillId="10" borderId="8" xfId="0" applyFont="1" applyFill="1" applyBorder="1" applyAlignment="1">
      <alignment horizontal="left" vertical="top" wrapText="1"/>
    </xf>
    <xf numFmtId="0" fontId="12" fillId="11" borderId="8" xfId="0" applyFont="1" applyFill="1" applyBorder="1" applyAlignment="1">
      <alignment horizontal="left" vertical="top" wrapText="1"/>
    </xf>
    <xf numFmtId="0" fontId="2" fillId="21" borderId="8" xfId="0" applyFont="1" applyFill="1" applyBorder="1" applyAlignment="1">
      <alignment horizontal="left" vertical="top" wrapText="1"/>
    </xf>
    <xf numFmtId="0" fontId="11" fillId="19" borderId="8" xfId="0" applyFont="1" applyFill="1" applyBorder="1" applyAlignment="1">
      <alignment horizontal="left" vertical="top" wrapText="1"/>
    </xf>
    <xf numFmtId="0" fontId="6" fillId="18" borderId="8" xfId="0" applyFont="1" applyFill="1" applyBorder="1" applyAlignment="1">
      <alignment horizontal="left" vertical="top" wrapText="1"/>
    </xf>
    <xf numFmtId="0" fontId="11" fillId="20" borderId="8" xfId="0" applyFont="1" applyFill="1" applyBorder="1" applyAlignment="1">
      <alignment horizontal="left" vertical="top" wrapText="1"/>
    </xf>
    <xf numFmtId="0" fontId="21" fillId="23" borderId="11" xfId="4" applyFont="1" applyFill="1" applyBorder="1" applyAlignment="1">
      <alignment horizontal="center" vertical="center" wrapText="1"/>
    </xf>
    <xf numFmtId="166" fontId="21" fillId="24" borderId="11" xfId="4" applyNumberFormat="1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center" vertical="top" wrapText="1"/>
    </xf>
    <xf numFmtId="0" fontId="2" fillId="22" borderId="0" xfId="0" applyFont="1" applyFill="1" applyAlignment="1">
      <alignment horizontal="left" vertical="top" wrapText="1"/>
    </xf>
    <xf numFmtId="0" fontId="10" fillId="22" borderId="0" xfId="0" applyFont="1" applyFill="1" applyAlignment="1">
      <alignment horizontal="center" vertical="top" wrapText="1"/>
    </xf>
    <xf numFmtId="0" fontId="10" fillId="22" borderId="0" xfId="0" applyFont="1" applyFill="1" applyAlignment="1">
      <alignment horizontal="left" vertical="top" wrapText="1"/>
    </xf>
    <xf numFmtId="0" fontId="2" fillId="22" borderId="10" xfId="0" applyFont="1" applyFill="1" applyBorder="1" applyAlignment="1">
      <alignment horizontal="center" wrapText="1"/>
    </xf>
    <xf numFmtId="0" fontId="21" fillId="23" borderId="11" xfId="4" applyFont="1" applyFill="1" applyBorder="1" applyAlignment="1">
      <alignment horizontal="center" vertical="center"/>
    </xf>
  </cellXfs>
  <cellStyles count="6">
    <cellStyle name="Hiperlink" xfId="3" builtinId="8"/>
    <cellStyle name="Moeda 2" xfId="5" xr:uid="{CFC56AFA-5EBE-4AC8-AB9E-2871727F24C4}"/>
    <cellStyle name="Normal" xfId="0" builtinId="0"/>
    <cellStyle name="Normal 2 2 2" xfId="4" xr:uid="{379D77AC-2A38-4E8C-A8BF-092C4485B826}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106680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pdu-28a-com-8-tomadas-verticais-padro-nbr14136-10a/p/MLB38799276?matt_tool=18956390&amp;utm_source=google_shopping&amp;utm_medium=organic&amp;item_id=MLB4966575388&amp;from=gshop" TargetMode="External"/><Relationship Id="rId3" Type="http://schemas.openxmlformats.org/officeDocument/2006/relationships/hyperlink" Target="https://www.madeiramadeira.com.br/guia-organizador-cabos-1u-x-19-793174487.html" TargetMode="External"/><Relationship Id="rId7" Type="http://schemas.openxmlformats.org/officeDocument/2006/relationships/hyperlink" Target="https://www.americanas.com.br/produto/3148448071/pdu-10a-com-12-tomadas-45-graus-padrao-nbr14136-10a?offerId=6072a9b30c07044266cd4ee8&amp;opn=YSMESP&amp;srsltid=AfmBOorixwPCPvvXxSVsXjV8pLaX6oQ81HNj5nZ4nFjHWtVyNwhoH7WBrK4" TargetMode="External"/><Relationship Id="rId2" Type="http://schemas.openxmlformats.org/officeDocument/2006/relationships/hyperlink" Target="https://www.leroymerlin.com.br/guia-organizador-cabos-1u-x-19_1570519276?region=outros" TargetMode="External"/><Relationship Id="rId1" Type="http://schemas.openxmlformats.org/officeDocument/2006/relationships/hyperlink" Target="https://www.kabum.com.br/produto/407793/guia-organizador-cabos-1u-x-19?srsltid=AfmBOoq9Z5zoJStje2-PL1lGfBUtsTcbmGmFeCohDXe2bhxzTG6Yr5MpJuU" TargetMode="External"/><Relationship Id="rId6" Type="http://schemas.openxmlformats.org/officeDocument/2006/relationships/hyperlink" Target="https://www.magazineluiza.com.br/pdu-20a-com-12-tomadas-padrao-nbr14136-8x10a-e-4x20a-casa-das-tomadas/p/gb381740b4/in/fdla/?utm_content=none_roa_ven_geral_pla_tod_3p&amp;utm_source=google&amp;utm_medium=cpc&amp;seller_id=olistplus&amp;srsltid=AfmBOoo3QRWgoOZH9uxgZLOyFqTayO46W_gY-kdx77UZc69CXdbxojBNkrk" TargetMode="External"/><Relationship Id="rId5" Type="http://schemas.openxmlformats.org/officeDocument/2006/relationships/hyperlink" Target="https://www.47eletrica.com.br/fita-fecho-de-contato-organizador-de-cabos-cor-preto-rolo-10m-x-40mm?utm_source=google&amp;utm_medium=Shopping&amp;utm_campaign=fita-fecho-de-contato-organizador-de-cabos-cor-preto-rolo-10m-x-40mm&amp;inStock&amp;gad_source=4&amp;gclid=Cj0KCQjw5ea1BhC6ARIsAEOG5pylcPlGoaDneNP10_b3owigOxlnEVe5Dthugr1y0h30N6s9pYbSyEsaArUAEALw_wcB" TargetMode="External"/><Relationship Id="rId4" Type="http://schemas.openxmlformats.org/officeDocument/2006/relationships/hyperlink" Target="https://www.americanas.com.br/produto/7470111657/fita-fecho-de-contato-organizador-de-cabos-preto-rolo-10m-x-30mm?offerId=66676680f85575c569224ddc&amp;opn=YSMESP&amp;epar=bp_pl_px_go_pmax_cec_3p_outros_geral_2&amp;gclsrc=aw.ds&amp;gad_source=4&amp;gclid=Cj0KCQjw5ea1BhC6ARIsAEOG5pyOCtIiXUXH2Yrq9CjM-wYDZyGHL8Y6eWePTrf1zEzy8Y6eVgUKJ-YaAnsQEALw_wcB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showWhiteSpace="0" workbookViewId="0">
      <selection activeCell="H5" sqref="H5:H11"/>
    </sheetView>
  </sheetViews>
  <sheetFormatPr defaultRowHeight="14.25" x14ac:dyDescent="0.2"/>
  <cols>
    <col min="1" max="1" width="10" bestFit="1" customWidth="1"/>
    <col min="2" max="2" width="9.875" customWidth="1"/>
    <col min="3" max="3" width="52.25" customWidth="1"/>
    <col min="4" max="4" width="30" bestFit="1" customWidth="1"/>
    <col min="5" max="5" width="5" bestFit="1" customWidth="1"/>
    <col min="6" max="6" width="10" bestFit="1" customWidth="1"/>
    <col min="7" max="7" width="11.25" customWidth="1"/>
    <col min="8" max="9" width="10" bestFit="1" customWidth="1"/>
  </cols>
  <sheetData>
    <row r="1" spans="1:9" ht="15" customHeight="1" x14ac:dyDescent="0.2">
      <c r="A1" s="1"/>
      <c r="B1" s="1"/>
      <c r="C1" s="1" t="s">
        <v>0</v>
      </c>
      <c r="D1" s="1" t="s">
        <v>1</v>
      </c>
      <c r="E1" s="49"/>
      <c r="F1" s="54" t="s">
        <v>2</v>
      </c>
      <c r="G1" s="54" t="s">
        <v>396</v>
      </c>
      <c r="H1" s="95" t="s">
        <v>3</v>
      </c>
      <c r="I1" s="95"/>
    </row>
    <row r="2" spans="1:9" ht="80.099999999999994" customHeight="1" x14ac:dyDescent="0.2">
      <c r="A2" s="8"/>
      <c r="B2" s="8"/>
      <c r="C2" s="8" t="s">
        <v>4</v>
      </c>
      <c r="D2" s="8" t="s">
        <v>5</v>
      </c>
      <c r="E2" s="50"/>
      <c r="F2" s="51">
        <v>0.24540000000000001</v>
      </c>
      <c r="G2" s="51">
        <v>0.17369999999999999</v>
      </c>
      <c r="H2" s="91" t="s">
        <v>6</v>
      </c>
      <c r="I2" s="91"/>
    </row>
    <row r="3" spans="1:9" ht="15" x14ac:dyDescent="0.25">
      <c r="A3" s="96" t="s">
        <v>7</v>
      </c>
      <c r="B3" s="94"/>
      <c r="C3" s="94"/>
      <c r="D3" s="94"/>
      <c r="E3" s="94"/>
      <c r="F3" s="94"/>
      <c r="G3" s="94"/>
      <c r="H3" s="94"/>
      <c r="I3" s="94"/>
    </row>
    <row r="4" spans="1:9" ht="30" customHeight="1" x14ac:dyDescent="0.2">
      <c r="A4" s="97" t="s">
        <v>8</v>
      </c>
      <c r="B4" s="97"/>
      <c r="C4" s="97" t="s">
        <v>9</v>
      </c>
      <c r="D4" s="97"/>
      <c r="E4" s="97"/>
      <c r="F4" s="2"/>
      <c r="G4" s="3" t="s">
        <v>10</v>
      </c>
      <c r="H4" s="3" t="s">
        <v>11</v>
      </c>
      <c r="I4" s="3" t="s">
        <v>12</v>
      </c>
    </row>
    <row r="5" spans="1:9" ht="24" customHeight="1" x14ac:dyDescent="0.2">
      <c r="A5" s="4" t="s">
        <v>13</v>
      </c>
      <c r="B5" s="4"/>
      <c r="C5" s="4" t="s">
        <v>14</v>
      </c>
      <c r="D5" s="4"/>
      <c r="E5" s="5"/>
      <c r="F5" s="4"/>
      <c r="G5" s="5">
        <v>1</v>
      </c>
      <c r="H5" s="6">
        <f>Sintético!J5</f>
        <v>9853.8753900000011</v>
      </c>
      <c r="I5" s="7">
        <v>0.30143281250592424</v>
      </c>
    </row>
    <row r="6" spans="1:9" ht="24" customHeight="1" x14ac:dyDescent="0.2">
      <c r="A6" s="4" t="s">
        <v>15</v>
      </c>
      <c r="B6" s="4"/>
      <c r="C6" s="4" t="s">
        <v>16</v>
      </c>
      <c r="D6" s="4"/>
      <c r="E6" s="5"/>
      <c r="F6" s="4"/>
      <c r="G6" s="5">
        <v>1</v>
      </c>
      <c r="H6" s="6">
        <f>Sintético!J9</f>
        <v>4531.4209370000008</v>
      </c>
      <c r="I6" s="7">
        <v>0.13861743767069704</v>
      </c>
    </row>
    <row r="7" spans="1:9" ht="24" customHeight="1" x14ac:dyDescent="0.2">
      <c r="A7" s="4" t="s">
        <v>17</v>
      </c>
      <c r="B7" s="4"/>
      <c r="C7" s="4" t="s">
        <v>18</v>
      </c>
      <c r="D7" s="4"/>
      <c r="E7" s="5"/>
      <c r="F7" s="4"/>
      <c r="G7" s="5">
        <v>1</v>
      </c>
      <c r="H7" s="6">
        <f>Sintético!J14</f>
        <v>4501.8146079999997</v>
      </c>
      <c r="I7" s="7">
        <v>0.12976097042494006</v>
      </c>
    </row>
    <row r="8" spans="1:9" ht="24" customHeight="1" x14ac:dyDescent="0.2">
      <c r="A8" s="4" t="s">
        <v>19</v>
      </c>
      <c r="B8" s="4"/>
      <c r="C8" s="4" t="s">
        <v>20</v>
      </c>
      <c r="D8" s="4"/>
      <c r="E8" s="5"/>
      <c r="F8" s="4"/>
      <c r="G8" s="5">
        <v>1</v>
      </c>
      <c r="H8" s="6">
        <f>Sintético!J23</f>
        <v>1749.2027329999999</v>
      </c>
      <c r="I8" s="7">
        <v>5.1104530730839273E-2</v>
      </c>
    </row>
    <row r="9" spans="1:9" ht="24" customHeight="1" x14ac:dyDescent="0.2">
      <c r="A9" s="4" t="s">
        <v>21</v>
      </c>
      <c r="B9" s="4"/>
      <c r="C9" s="4" t="s">
        <v>22</v>
      </c>
      <c r="D9" s="4"/>
      <c r="E9" s="5"/>
      <c r="F9" s="4"/>
      <c r="G9" s="5">
        <v>1</v>
      </c>
      <c r="H9" s="6">
        <f>Sintético!J27</f>
        <v>1353.900813</v>
      </c>
      <c r="I9" s="7">
        <v>4.1698294198606996E-2</v>
      </c>
    </row>
    <row r="10" spans="1:9" ht="24" customHeight="1" x14ac:dyDescent="0.2">
      <c r="A10" s="4" t="s">
        <v>23</v>
      </c>
      <c r="B10" s="4"/>
      <c r="C10" s="4" t="s">
        <v>24</v>
      </c>
      <c r="D10" s="4"/>
      <c r="E10" s="5"/>
      <c r="F10" s="4"/>
      <c r="G10" s="5">
        <v>1</v>
      </c>
      <c r="H10" s="6">
        <f>Sintético!J37</f>
        <v>10270.512375999999</v>
      </c>
      <c r="I10" s="7">
        <v>0.31417785478760579</v>
      </c>
    </row>
    <row r="11" spans="1:9" ht="24" customHeight="1" x14ac:dyDescent="0.2">
      <c r="A11" s="4" t="s">
        <v>25</v>
      </c>
      <c r="B11" s="4"/>
      <c r="C11" s="4" t="s">
        <v>26</v>
      </c>
      <c r="D11" s="4"/>
      <c r="E11" s="5"/>
      <c r="F11" s="4"/>
      <c r="G11" s="5">
        <v>1</v>
      </c>
      <c r="H11" s="6">
        <f>Sintético!J53</f>
        <v>758.6756079999999</v>
      </c>
      <c r="I11" s="7">
        <v>2.3208099681386582E-2</v>
      </c>
    </row>
    <row r="12" spans="1:9" x14ac:dyDescent="0.2">
      <c r="A12" s="12"/>
      <c r="B12" s="12"/>
      <c r="C12" s="12"/>
      <c r="D12" s="12"/>
      <c r="E12" s="12"/>
      <c r="F12" s="12"/>
      <c r="G12" s="12"/>
      <c r="H12" s="12"/>
      <c r="I12" s="12"/>
    </row>
    <row r="13" spans="1:9" x14ac:dyDescent="0.2">
      <c r="A13" s="90"/>
      <c r="B13" s="90"/>
      <c r="C13" s="11"/>
      <c r="D13" s="10"/>
      <c r="E13" s="91" t="s">
        <v>27</v>
      </c>
      <c r="F13" s="90"/>
      <c r="G13" s="92">
        <f>Sintético!H59</f>
        <v>31360.14</v>
      </c>
      <c r="H13" s="90"/>
      <c r="I13" s="90"/>
    </row>
    <row r="14" spans="1:9" x14ac:dyDescent="0.2">
      <c r="A14" s="90"/>
      <c r="B14" s="90"/>
      <c r="C14" s="11"/>
      <c r="D14" s="10"/>
      <c r="E14" s="91" t="s">
        <v>28</v>
      </c>
      <c r="F14" s="90"/>
      <c r="G14" s="92">
        <f>Sintético!H60</f>
        <v>8632.1200000000008</v>
      </c>
      <c r="H14" s="90"/>
      <c r="I14" s="90"/>
    </row>
    <row r="15" spans="1:9" x14ac:dyDescent="0.2">
      <c r="A15" s="90"/>
      <c r="B15" s="90"/>
      <c r="C15" s="11"/>
      <c r="D15" s="10"/>
      <c r="E15" s="91" t="s">
        <v>29</v>
      </c>
      <c r="F15" s="90"/>
      <c r="G15" s="92">
        <f>Sintético!H61</f>
        <v>-6972.8575350000028</v>
      </c>
      <c r="H15" s="90"/>
      <c r="I15" s="90"/>
    </row>
    <row r="16" spans="1:9" x14ac:dyDescent="0.2">
      <c r="A16" s="10"/>
      <c r="B16" s="10"/>
      <c r="C16" s="11"/>
      <c r="D16" s="10"/>
      <c r="E16" s="91" t="s">
        <v>29</v>
      </c>
      <c r="F16" s="90"/>
      <c r="G16" s="92">
        <f>Sintético!H62</f>
        <v>33019.402464999999</v>
      </c>
      <c r="H16" s="90"/>
      <c r="I16" s="90"/>
    </row>
    <row r="17" spans="1:9" ht="60" customHeight="1" x14ac:dyDescent="0.2">
      <c r="A17" s="9"/>
      <c r="B17" s="9"/>
      <c r="C17" s="9"/>
      <c r="D17" s="9"/>
      <c r="E17" s="9"/>
      <c r="F17" s="9"/>
      <c r="G17" s="9"/>
      <c r="H17" s="9"/>
      <c r="I17" s="9"/>
    </row>
    <row r="18" spans="1:9" ht="69.95" customHeight="1" x14ac:dyDescent="0.2">
      <c r="A18" s="93"/>
      <c r="B18" s="94"/>
      <c r="C18" s="94"/>
      <c r="D18" s="94"/>
      <c r="E18" s="94"/>
      <c r="F18" s="94"/>
      <c r="G18" s="94"/>
      <c r="H18" s="94"/>
      <c r="I18" s="94"/>
    </row>
  </sheetData>
  <mergeCells count="17">
    <mergeCell ref="H1:I1"/>
    <mergeCell ref="H2:I2"/>
    <mergeCell ref="A3:I3"/>
    <mergeCell ref="A4:B4"/>
    <mergeCell ref="C4:E4"/>
    <mergeCell ref="A13:B13"/>
    <mergeCell ref="E13:F13"/>
    <mergeCell ref="G13:I13"/>
    <mergeCell ref="A18:I18"/>
    <mergeCell ref="E16:F16"/>
    <mergeCell ref="G16:I16"/>
    <mergeCell ref="A14:B14"/>
    <mergeCell ref="E14:F14"/>
    <mergeCell ref="G14:I14"/>
    <mergeCell ref="A15:B15"/>
    <mergeCell ref="E15:F15"/>
    <mergeCell ref="G15:I15"/>
  </mergeCells>
  <pageMargins left="0.5" right="0.5" top="1" bottom="1" header="0.5" footer="0.5"/>
  <pageSetup paperSize="9" scale="84" fitToHeight="0" orientation="landscape" r:id="rId1"/>
  <headerFooter>
    <oddHeader>&amp;L &amp;CDefensoria Publica do Estado de Mato Grosso
CNPJ: 02.528.193/0001-83 &amp;R</oddHeader>
    <oddFooter>&amp;L &amp;CRua 02, Esquina com Rua C, Setor A, Quadra 04, Lote 04  - Centro Político Administrativo - Cuiabá / MT
(65) 9 9237-5450 / adriano.eng.mt@gmail.com 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E117-FD82-4D3A-A116-0205E1F99394}">
  <sheetPr>
    <pageSetUpPr fitToPage="1"/>
  </sheetPr>
  <dimension ref="A1:M64"/>
  <sheetViews>
    <sheetView tabSelected="1" workbookViewId="0">
      <selection activeCell="J4" sqref="J4"/>
    </sheetView>
  </sheetViews>
  <sheetFormatPr defaultRowHeight="14.25" outlineLevelRow="1" x14ac:dyDescent="0.2"/>
  <cols>
    <col min="1" max="1" width="10" bestFit="1" customWidth="1"/>
    <col min="2" max="2" width="13.125" bestFit="1" customWidth="1"/>
    <col min="3" max="3" width="13.25" bestFit="1" customWidth="1"/>
    <col min="4" max="4" width="60" bestFit="1" customWidth="1"/>
    <col min="5" max="5" width="8" bestFit="1" customWidth="1"/>
    <col min="6" max="9" width="13" bestFit="1" customWidth="1"/>
    <col min="10" max="10" width="13" customWidth="1"/>
    <col min="11" max="11" width="13" bestFit="1" customWidth="1"/>
  </cols>
  <sheetData>
    <row r="1" spans="1:11" ht="15" x14ac:dyDescent="0.2">
      <c r="A1" s="13"/>
      <c r="B1" s="13"/>
      <c r="C1" s="13"/>
      <c r="D1" s="13" t="s">
        <v>0</v>
      </c>
      <c r="E1" s="102" t="s">
        <v>1</v>
      </c>
      <c r="F1" s="102"/>
      <c r="G1" s="55" t="s">
        <v>2</v>
      </c>
      <c r="H1" s="55" t="s">
        <v>396</v>
      </c>
      <c r="I1" s="102" t="s">
        <v>3</v>
      </c>
      <c r="J1" s="102"/>
      <c r="K1" s="102"/>
    </row>
    <row r="2" spans="1:11" ht="45" customHeight="1" x14ac:dyDescent="0.2">
      <c r="A2" s="14"/>
      <c r="B2" s="14"/>
      <c r="C2" s="14"/>
      <c r="D2" s="14" t="s">
        <v>4</v>
      </c>
      <c r="E2" s="99" t="s">
        <v>5</v>
      </c>
      <c r="F2" s="99"/>
      <c r="G2" s="52">
        <v>0.27539999999999998</v>
      </c>
      <c r="H2" s="52">
        <v>0.17369999999999999</v>
      </c>
      <c r="I2" s="99" t="s">
        <v>6</v>
      </c>
      <c r="J2" s="99"/>
      <c r="K2" s="99"/>
    </row>
    <row r="3" spans="1:11" ht="15" x14ac:dyDescent="0.25">
      <c r="A3" s="103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 spans="1:11" ht="30" customHeight="1" x14ac:dyDescent="0.2">
      <c r="A4" s="64" t="s">
        <v>8</v>
      </c>
      <c r="B4" s="16" t="s">
        <v>31</v>
      </c>
      <c r="C4" s="64" t="s">
        <v>32</v>
      </c>
      <c r="D4" s="64" t="s">
        <v>9</v>
      </c>
      <c r="E4" s="17" t="s">
        <v>33</v>
      </c>
      <c r="F4" s="16" t="s">
        <v>10</v>
      </c>
      <c r="G4" s="16" t="s">
        <v>34</v>
      </c>
      <c r="H4" s="16" t="s">
        <v>35</v>
      </c>
      <c r="I4" s="16" t="s">
        <v>11</v>
      </c>
      <c r="J4" s="16" t="s">
        <v>397</v>
      </c>
      <c r="K4" s="16" t="s">
        <v>12</v>
      </c>
    </row>
    <row r="5" spans="1:11" x14ac:dyDescent="0.2">
      <c r="A5" s="65" t="s">
        <v>13</v>
      </c>
      <c r="B5" s="65" t="s">
        <v>36</v>
      </c>
      <c r="C5" s="65"/>
      <c r="D5" s="65" t="s">
        <v>14</v>
      </c>
      <c r="E5" s="19"/>
      <c r="F5" s="20">
        <v>1</v>
      </c>
      <c r="G5" s="20" t="s">
        <v>37</v>
      </c>
      <c r="H5" s="21">
        <v>11925.3</v>
      </c>
      <c r="I5" s="21">
        <v>11925.3</v>
      </c>
      <c r="J5" s="21">
        <f>SUM(J6:J8)</f>
        <v>9853.8753900000011</v>
      </c>
      <c r="K5" s="22">
        <v>0.29819019980366201</v>
      </c>
    </row>
    <row r="6" spans="1:11" ht="25.5" outlineLevel="1" x14ac:dyDescent="0.2">
      <c r="A6" s="66" t="s">
        <v>38</v>
      </c>
      <c r="B6" s="66" t="s">
        <v>39</v>
      </c>
      <c r="C6" s="66" t="s">
        <v>40</v>
      </c>
      <c r="D6" s="66" t="s">
        <v>41</v>
      </c>
      <c r="E6" s="23" t="s">
        <v>42</v>
      </c>
      <c r="F6" s="24">
        <v>36</v>
      </c>
      <c r="G6" s="25">
        <v>118.93</v>
      </c>
      <c r="H6" s="25">
        <v>151.68</v>
      </c>
      <c r="I6" s="25">
        <v>5460.48</v>
      </c>
      <c r="J6" s="25">
        <f>I6-(I6*$H$2)</f>
        <v>4511.9946239999999</v>
      </c>
      <c r="K6" s="26">
        <v>0.13653842018430568</v>
      </c>
    </row>
    <row r="7" spans="1:11" ht="25.5" outlineLevel="1" x14ac:dyDescent="0.2">
      <c r="A7" s="66" t="s">
        <v>43</v>
      </c>
      <c r="B7" s="66" t="s">
        <v>44</v>
      </c>
      <c r="C7" s="66" t="s">
        <v>40</v>
      </c>
      <c r="D7" s="66" t="s">
        <v>45</v>
      </c>
      <c r="E7" s="23" t="s">
        <v>46</v>
      </c>
      <c r="F7" s="24">
        <v>1</v>
      </c>
      <c r="G7" s="25">
        <v>4797.3900000000003</v>
      </c>
      <c r="H7" s="25">
        <v>6118.59</v>
      </c>
      <c r="I7" s="25">
        <v>6118.59</v>
      </c>
      <c r="J7" s="25">
        <f>I7-(I7*$H$2)</f>
        <v>5055.7909170000003</v>
      </c>
      <c r="K7" s="26">
        <v>0.15299435440757786</v>
      </c>
    </row>
    <row r="8" spans="1:11" outlineLevel="1" x14ac:dyDescent="0.2">
      <c r="A8" s="69" t="s">
        <v>47</v>
      </c>
      <c r="B8" s="69" t="s">
        <v>48</v>
      </c>
      <c r="C8" s="69" t="s">
        <v>49</v>
      </c>
      <c r="D8" s="69" t="s">
        <v>50</v>
      </c>
      <c r="E8" s="27" t="s">
        <v>51</v>
      </c>
      <c r="F8" s="28">
        <v>1</v>
      </c>
      <c r="G8" s="29">
        <v>271.47000000000003</v>
      </c>
      <c r="H8" s="29">
        <v>346.23</v>
      </c>
      <c r="I8" s="29">
        <v>346.23</v>
      </c>
      <c r="J8" s="29">
        <f t="shared" ref="J8" si="0">I8-(I8*$H$2)</f>
        <v>286.08984900000002</v>
      </c>
      <c r="K8" s="30">
        <v>8.6574252117784783E-3</v>
      </c>
    </row>
    <row r="9" spans="1:11" x14ac:dyDescent="0.2">
      <c r="A9" s="65" t="s">
        <v>15</v>
      </c>
      <c r="B9" s="65" t="s">
        <v>36</v>
      </c>
      <c r="C9" s="65"/>
      <c r="D9" s="65" t="s">
        <v>16</v>
      </c>
      <c r="E9" s="19"/>
      <c r="F9" s="20">
        <v>1</v>
      </c>
      <c r="G9" s="20" t="s">
        <v>37</v>
      </c>
      <c r="H9" s="21">
        <v>5483.99</v>
      </c>
      <c r="I9" s="21">
        <v>5483.99</v>
      </c>
      <c r="J9" s="21">
        <f>SUM(J10:J13)</f>
        <v>4531.4209370000008</v>
      </c>
      <c r="K9" s="22">
        <v>0.13712628393594162</v>
      </c>
    </row>
    <row r="10" spans="1:11" ht="25.5" outlineLevel="1" x14ac:dyDescent="0.2">
      <c r="A10" s="66" t="s">
        <v>52</v>
      </c>
      <c r="B10" s="66" t="s">
        <v>53</v>
      </c>
      <c r="C10" s="66" t="s">
        <v>49</v>
      </c>
      <c r="D10" s="66" t="s">
        <v>54</v>
      </c>
      <c r="E10" s="23" t="s">
        <v>55</v>
      </c>
      <c r="F10" s="24">
        <v>14.06</v>
      </c>
      <c r="G10" s="25">
        <v>49.51</v>
      </c>
      <c r="H10" s="25">
        <v>63.14</v>
      </c>
      <c r="I10" s="25">
        <v>887.74</v>
      </c>
      <c r="J10" s="25">
        <f t="shared" ref="J10:J12" si="1">I10-(I10*$H$2)</f>
        <v>733.53956200000005</v>
      </c>
      <c r="K10" s="26">
        <v>2.21977952733854E-2</v>
      </c>
    </row>
    <row r="11" spans="1:11" ht="51" outlineLevel="1" x14ac:dyDescent="0.2">
      <c r="A11" s="66" t="s">
        <v>56</v>
      </c>
      <c r="B11" s="66" t="s">
        <v>57</v>
      </c>
      <c r="C11" s="66" t="s">
        <v>40</v>
      </c>
      <c r="D11" s="66" t="s">
        <v>58</v>
      </c>
      <c r="E11" s="23" t="s">
        <v>59</v>
      </c>
      <c r="F11" s="24">
        <v>21.09</v>
      </c>
      <c r="G11" s="25">
        <v>155.13</v>
      </c>
      <c r="H11" s="25">
        <v>197.85</v>
      </c>
      <c r="I11" s="25">
        <v>4172.6499999999996</v>
      </c>
      <c r="J11" s="25">
        <f t="shared" si="1"/>
        <v>3447.8606949999999</v>
      </c>
      <c r="K11" s="26">
        <v>0.10433643910096603</v>
      </c>
    </row>
    <row r="12" spans="1:11" ht="25.5" outlineLevel="1" x14ac:dyDescent="0.2">
      <c r="A12" s="66" t="s">
        <v>60</v>
      </c>
      <c r="B12" s="66" t="s">
        <v>61</v>
      </c>
      <c r="C12" s="66" t="s">
        <v>40</v>
      </c>
      <c r="D12" s="66" t="s">
        <v>62</v>
      </c>
      <c r="E12" s="23" t="s">
        <v>59</v>
      </c>
      <c r="F12" s="24">
        <v>4</v>
      </c>
      <c r="G12" s="25">
        <v>1.76</v>
      </c>
      <c r="H12" s="25">
        <v>2.2400000000000002</v>
      </c>
      <c r="I12" s="25">
        <v>8.9600000000000009</v>
      </c>
      <c r="J12" s="25">
        <f t="shared" si="1"/>
        <v>7.4036480000000005</v>
      </c>
      <c r="K12" s="26">
        <v>2.2404335238868721E-4</v>
      </c>
    </row>
    <row r="13" spans="1:11" ht="25.5" outlineLevel="1" x14ac:dyDescent="0.2">
      <c r="A13" s="66" t="s">
        <v>63</v>
      </c>
      <c r="B13" s="66" t="s">
        <v>64</v>
      </c>
      <c r="C13" s="66" t="s">
        <v>40</v>
      </c>
      <c r="D13" s="66" t="s">
        <v>65</v>
      </c>
      <c r="E13" s="23" t="s">
        <v>59</v>
      </c>
      <c r="F13" s="24">
        <v>4</v>
      </c>
      <c r="G13" s="25">
        <v>81.28</v>
      </c>
      <c r="H13" s="25">
        <v>103.66</v>
      </c>
      <c r="I13" s="25">
        <v>414.64</v>
      </c>
      <c r="J13" s="25">
        <f>I13-(I13*$H$2)</f>
        <v>342.61703199999999</v>
      </c>
      <c r="K13" s="26">
        <v>1.036800620920148E-2</v>
      </c>
    </row>
    <row r="14" spans="1:11" x14ac:dyDescent="0.2">
      <c r="A14" s="65" t="s">
        <v>17</v>
      </c>
      <c r="B14" s="65" t="s">
        <v>36</v>
      </c>
      <c r="C14" s="65"/>
      <c r="D14" s="65" t="s">
        <v>18</v>
      </c>
      <c r="E14" s="19"/>
      <c r="F14" s="20">
        <v>1</v>
      </c>
      <c r="G14" s="20" t="s">
        <v>37</v>
      </c>
      <c r="H14" s="21">
        <v>5448.16</v>
      </c>
      <c r="I14" s="21">
        <v>5448.16</v>
      </c>
      <c r="J14" s="21">
        <f>SUM(J15:J22)</f>
        <v>4501.8146079999997</v>
      </c>
      <c r="K14" s="22">
        <v>0.13623036057477123</v>
      </c>
    </row>
    <row r="15" spans="1:11" ht="25.5" outlineLevel="1" x14ac:dyDescent="0.2">
      <c r="A15" s="66" t="s">
        <v>66</v>
      </c>
      <c r="B15" s="66" t="s">
        <v>67</v>
      </c>
      <c r="C15" s="66" t="s">
        <v>40</v>
      </c>
      <c r="D15" s="66" t="s">
        <v>68</v>
      </c>
      <c r="E15" s="23" t="s">
        <v>59</v>
      </c>
      <c r="F15" s="24">
        <v>37.229999999999997</v>
      </c>
      <c r="G15" s="25">
        <v>16.670000000000002</v>
      </c>
      <c r="H15" s="25">
        <v>21.26</v>
      </c>
      <c r="I15" s="25">
        <v>791.5</v>
      </c>
      <c r="J15" s="25">
        <f t="shared" ref="J15:J20" si="2">I15-(I15*$H$2)</f>
        <v>654.01644999999996</v>
      </c>
      <c r="K15" s="26">
        <v>1.979132962228191E-2</v>
      </c>
    </row>
    <row r="16" spans="1:11" ht="25.5" outlineLevel="1" x14ac:dyDescent="0.2">
      <c r="A16" s="66" t="s">
        <v>69</v>
      </c>
      <c r="B16" s="66" t="s">
        <v>70</v>
      </c>
      <c r="C16" s="66" t="s">
        <v>40</v>
      </c>
      <c r="D16" s="66" t="s">
        <v>71</v>
      </c>
      <c r="E16" s="23" t="s">
        <v>59</v>
      </c>
      <c r="F16" s="24">
        <v>190.68</v>
      </c>
      <c r="G16" s="25">
        <v>12.85</v>
      </c>
      <c r="H16" s="25">
        <v>16.38</v>
      </c>
      <c r="I16" s="25">
        <v>3123.33</v>
      </c>
      <c r="J16" s="25">
        <f t="shared" si="2"/>
        <v>2580.8075789999998</v>
      </c>
      <c r="K16" s="26">
        <v>7.8098362033053398E-2</v>
      </c>
    </row>
    <row r="17" spans="1:11" ht="25.5" outlineLevel="1" x14ac:dyDescent="0.2">
      <c r="A17" s="66" t="s">
        <v>72</v>
      </c>
      <c r="B17" s="66" t="s">
        <v>73</v>
      </c>
      <c r="C17" s="66" t="s">
        <v>40</v>
      </c>
      <c r="D17" s="66" t="s">
        <v>74</v>
      </c>
      <c r="E17" s="23" t="s">
        <v>59</v>
      </c>
      <c r="F17" s="24">
        <v>51.69</v>
      </c>
      <c r="G17" s="25">
        <v>14.93</v>
      </c>
      <c r="H17" s="25">
        <v>19.04</v>
      </c>
      <c r="I17" s="25">
        <v>984.17</v>
      </c>
      <c r="J17" s="25">
        <f t="shared" si="2"/>
        <v>813.21967099999995</v>
      </c>
      <c r="K17" s="26">
        <v>2.4609011843791773E-2</v>
      </c>
    </row>
    <row r="18" spans="1:11" ht="25.5" outlineLevel="1" x14ac:dyDescent="0.2">
      <c r="A18" s="66" t="s">
        <v>75</v>
      </c>
      <c r="B18" s="66" t="s">
        <v>76</v>
      </c>
      <c r="C18" s="66" t="s">
        <v>40</v>
      </c>
      <c r="D18" s="66" t="s">
        <v>77</v>
      </c>
      <c r="E18" s="23" t="s">
        <v>59</v>
      </c>
      <c r="F18" s="24">
        <v>3.36</v>
      </c>
      <c r="G18" s="25">
        <v>23.59</v>
      </c>
      <c r="H18" s="25">
        <v>30.08</v>
      </c>
      <c r="I18" s="25">
        <v>101.06</v>
      </c>
      <c r="J18" s="25">
        <f t="shared" si="2"/>
        <v>83.505877999999996</v>
      </c>
      <c r="K18" s="26">
        <v>2.5269889723661529E-3</v>
      </c>
    </row>
    <row r="19" spans="1:11" ht="25.5" outlineLevel="1" x14ac:dyDescent="0.2">
      <c r="A19" s="66" t="s">
        <v>78</v>
      </c>
      <c r="B19" s="66" t="s">
        <v>79</v>
      </c>
      <c r="C19" s="66" t="s">
        <v>40</v>
      </c>
      <c r="D19" s="66" t="s">
        <v>80</v>
      </c>
      <c r="E19" s="23" t="s">
        <v>59</v>
      </c>
      <c r="F19" s="24">
        <v>3.36</v>
      </c>
      <c r="G19" s="25">
        <v>25.94</v>
      </c>
      <c r="H19" s="25">
        <v>33.08</v>
      </c>
      <c r="I19" s="25">
        <v>111.14</v>
      </c>
      <c r="J19" s="25">
        <f t="shared" si="2"/>
        <v>91.834981999999997</v>
      </c>
      <c r="K19" s="26">
        <v>2.7790377438034258E-3</v>
      </c>
    </row>
    <row r="20" spans="1:11" ht="25.5" outlineLevel="1" x14ac:dyDescent="0.2">
      <c r="A20" s="66" t="s">
        <v>81</v>
      </c>
      <c r="B20" s="66" t="s">
        <v>82</v>
      </c>
      <c r="C20" s="66" t="s">
        <v>40</v>
      </c>
      <c r="D20" s="66" t="s">
        <v>83</v>
      </c>
      <c r="E20" s="23" t="s">
        <v>59</v>
      </c>
      <c r="F20" s="24">
        <v>3.36</v>
      </c>
      <c r="G20" s="25">
        <v>1.88</v>
      </c>
      <c r="H20" s="25">
        <v>2.39</v>
      </c>
      <c r="I20" s="25">
        <v>8.0299999999999994</v>
      </c>
      <c r="J20" s="25">
        <f t="shared" si="2"/>
        <v>6.6351889999999996</v>
      </c>
      <c r="K20" s="26">
        <v>2.0078885264298641E-4</v>
      </c>
    </row>
    <row r="21" spans="1:11" ht="25.5" outlineLevel="1" x14ac:dyDescent="0.2">
      <c r="A21" s="66" t="s">
        <v>84</v>
      </c>
      <c r="B21" s="66" t="s">
        <v>85</v>
      </c>
      <c r="C21" s="66" t="s">
        <v>40</v>
      </c>
      <c r="D21" s="66" t="s">
        <v>86</v>
      </c>
      <c r="E21" s="23" t="s">
        <v>59</v>
      </c>
      <c r="F21" s="24">
        <v>42.18</v>
      </c>
      <c r="G21" s="25">
        <v>3.36</v>
      </c>
      <c r="H21" s="25">
        <v>4.28</v>
      </c>
      <c r="I21" s="25">
        <v>180.53</v>
      </c>
      <c r="J21" s="25">
        <f>I21-(I21*$H$2)</f>
        <v>149.17193900000001</v>
      </c>
      <c r="K21" s="26">
        <v>4.5141234828939402E-3</v>
      </c>
    </row>
    <row r="22" spans="1:11" ht="25.5" outlineLevel="1" x14ac:dyDescent="0.2">
      <c r="A22" s="66" t="s">
        <v>441</v>
      </c>
      <c r="B22" s="66" t="s">
        <v>442</v>
      </c>
      <c r="C22" s="66" t="s">
        <v>40</v>
      </c>
      <c r="D22" s="66" t="s">
        <v>443</v>
      </c>
      <c r="E22" s="23" t="s">
        <v>59</v>
      </c>
      <c r="F22" s="24">
        <v>4</v>
      </c>
      <c r="G22" s="25">
        <v>29.09</v>
      </c>
      <c r="H22" s="25">
        <v>37.1</v>
      </c>
      <c r="I22" s="25">
        <v>148.4</v>
      </c>
      <c r="J22" s="25">
        <f>I22-(I22*$H$2)</f>
        <v>122.62292000000001</v>
      </c>
      <c r="K22" s="26">
        <v>3.7107180239376318E-3</v>
      </c>
    </row>
    <row r="23" spans="1:11" x14ac:dyDescent="0.2">
      <c r="A23" s="65" t="s">
        <v>19</v>
      </c>
      <c r="B23" s="65" t="s">
        <v>36</v>
      </c>
      <c r="C23" s="65"/>
      <c r="D23" s="65" t="s">
        <v>20</v>
      </c>
      <c r="E23" s="19"/>
      <c r="F23" s="20">
        <v>1</v>
      </c>
      <c r="G23" s="20" t="s">
        <v>37</v>
      </c>
      <c r="H23" s="21">
        <v>2148.62</v>
      </c>
      <c r="I23" s="21">
        <v>2148.62</v>
      </c>
      <c r="J23" s="21">
        <f>SUM(J24:J26)</f>
        <v>1749.2027329999999</v>
      </c>
      <c r="K23" s="22">
        <v>5.3725895960868429E-2</v>
      </c>
    </row>
    <row r="24" spans="1:11" ht="25.5" outlineLevel="1" x14ac:dyDescent="0.2">
      <c r="A24" s="66" t="s">
        <v>87</v>
      </c>
      <c r="B24" s="66" t="s">
        <v>88</v>
      </c>
      <c r="C24" s="66" t="s">
        <v>40</v>
      </c>
      <c r="D24" s="66" t="s">
        <v>89</v>
      </c>
      <c r="E24" s="23" t="s">
        <v>59</v>
      </c>
      <c r="F24" s="24">
        <v>1</v>
      </c>
      <c r="G24" s="25">
        <v>438.34</v>
      </c>
      <c r="H24" s="25">
        <v>559.04999999999995</v>
      </c>
      <c r="I24" s="25">
        <v>559.04999999999995</v>
      </c>
      <c r="J24" s="25">
        <f>I24-(I24*$H$2)</f>
        <v>461.94301499999995</v>
      </c>
      <c r="K24" s="26">
        <v>1.3978954927778526E-2</v>
      </c>
    </row>
    <row r="25" spans="1:11" ht="51" outlineLevel="1" x14ac:dyDescent="0.2">
      <c r="A25" s="66" t="s">
        <v>90</v>
      </c>
      <c r="B25" s="66" t="s">
        <v>91</v>
      </c>
      <c r="C25" s="66" t="s">
        <v>40</v>
      </c>
      <c r="D25" s="66" t="s">
        <v>92</v>
      </c>
      <c r="E25" s="23" t="s">
        <v>93</v>
      </c>
      <c r="F25" s="24">
        <v>1</v>
      </c>
      <c r="G25" s="25">
        <v>1146.9000000000001</v>
      </c>
      <c r="H25" s="25">
        <v>1462.75</v>
      </c>
      <c r="I25" s="25">
        <v>1462.75</v>
      </c>
      <c r="J25" s="25">
        <f t="shared" ref="J25:J26" si="3">I25-(I25*$H$2)</f>
        <v>1208.670325</v>
      </c>
      <c r="K25" s="26">
        <v>3.6575827422606275E-2</v>
      </c>
    </row>
    <row r="26" spans="1:11" ht="25.5" outlineLevel="1" x14ac:dyDescent="0.2">
      <c r="A26" s="66" t="s">
        <v>444</v>
      </c>
      <c r="B26" s="66" t="s">
        <v>445</v>
      </c>
      <c r="C26" s="66" t="s">
        <v>40</v>
      </c>
      <c r="D26" s="66" t="s">
        <v>446</v>
      </c>
      <c r="E26" s="23" t="s">
        <v>55</v>
      </c>
      <c r="F26" s="24">
        <v>0.6</v>
      </c>
      <c r="G26" s="25">
        <v>124.3</v>
      </c>
      <c r="H26" s="25">
        <v>158.53</v>
      </c>
      <c r="I26" s="25">
        <v>95.11</v>
      </c>
      <c r="J26" s="25">
        <f t="shared" si="3"/>
        <v>78.589393000000001</v>
      </c>
      <c r="K26" s="26">
        <v>3.1711136104836286E-3</v>
      </c>
    </row>
    <row r="27" spans="1:11" x14ac:dyDescent="0.2">
      <c r="A27" s="65" t="s">
        <v>21</v>
      </c>
      <c r="B27" s="65" t="s">
        <v>36</v>
      </c>
      <c r="C27" s="65"/>
      <c r="D27" s="65" t="s">
        <v>22</v>
      </c>
      <c r="E27" s="19"/>
      <c r="F27" s="20">
        <v>1</v>
      </c>
      <c r="G27" s="20" t="s">
        <v>37</v>
      </c>
      <c r="H27" s="21">
        <v>1638.51</v>
      </c>
      <c r="I27" s="21">
        <v>1638.51</v>
      </c>
      <c r="J27" s="21">
        <f>SUM(J28:J36)</f>
        <v>1353.900813</v>
      </c>
      <c r="K27" s="22">
        <v>4.097067782615936E-2</v>
      </c>
    </row>
    <row r="28" spans="1:11" ht="25.5" outlineLevel="1" x14ac:dyDescent="0.2">
      <c r="A28" s="66" t="s">
        <v>94</v>
      </c>
      <c r="B28" s="66" t="s">
        <v>95</v>
      </c>
      <c r="C28" s="66" t="s">
        <v>49</v>
      </c>
      <c r="D28" s="66" t="s">
        <v>96</v>
      </c>
      <c r="E28" s="23" t="s">
        <v>93</v>
      </c>
      <c r="F28" s="24">
        <v>7</v>
      </c>
      <c r="G28" s="25">
        <v>32.15</v>
      </c>
      <c r="H28" s="25">
        <v>41</v>
      </c>
      <c r="I28" s="25">
        <v>287</v>
      </c>
      <c r="J28" s="25">
        <f t="shared" ref="J28:J33" si="4">I28-(I28*$H$2)</f>
        <v>237.1481</v>
      </c>
      <c r="K28" s="26">
        <v>7.176388631200137E-3</v>
      </c>
    </row>
    <row r="29" spans="1:11" ht="25.5" outlineLevel="1" x14ac:dyDescent="0.2">
      <c r="A29" s="66" t="s">
        <v>97</v>
      </c>
      <c r="B29" s="66" t="s">
        <v>98</v>
      </c>
      <c r="C29" s="66" t="s">
        <v>40</v>
      </c>
      <c r="D29" s="66" t="s">
        <v>99</v>
      </c>
      <c r="E29" s="23" t="s">
        <v>93</v>
      </c>
      <c r="F29" s="24">
        <v>1</v>
      </c>
      <c r="G29" s="25">
        <v>27.27</v>
      </c>
      <c r="H29" s="25">
        <v>34.78</v>
      </c>
      <c r="I29" s="25">
        <v>34.78</v>
      </c>
      <c r="J29" s="25">
        <f t="shared" si="4"/>
        <v>28.738714000000002</v>
      </c>
      <c r="K29" s="26">
        <v>8.6966828081233723E-4</v>
      </c>
    </row>
    <row r="30" spans="1:11" ht="25.5" outlineLevel="1" x14ac:dyDescent="0.2">
      <c r="A30" s="66" t="s">
        <v>100</v>
      </c>
      <c r="B30" s="66" t="s">
        <v>101</v>
      </c>
      <c r="C30" s="66" t="s">
        <v>49</v>
      </c>
      <c r="D30" s="66" t="s">
        <v>102</v>
      </c>
      <c r="E30" s="23" t="s">
        <v>93</v>
      </c>
      <c r="F30" s="24">
        <v>3</v>
      </c>
      <c r="G30" s="25">
        <v>102.16</v>
      </c>
      <c r="H30" s="25">
        <v>130.29</v>
      </c>
      <c r="I30" s="25">
        <v>390.87</v>
      </c>
      <c r="J30" s="25">
        <f t="shared" si="4"/>
        <v>322.97588100000002</v>
      </c>
      <c r="K30" s="26">
        <v>9.7736411995721171E-3</v>
      </c>
    </row>
    <row r="31" spans="1:11" ht="38.25" outlineLevel="1" x14ac:dyDescent="0.2">
      <c r="A31" s="66" t="s">
        <v>103</v>
      </c>
      <c r="B31" s="66" t="s">
        <v>104</v>
      </c>
      <c r="C31" s="66" t="s">
        <v>40</v>
      </c>
      <c r="D31" s="66" t="s">
        <v>105</v>
      </c>
      <c r="E31" s="23" t="s">
        <v>55</v>
      </c>
      <c r="F31" s="24">
        <v>5.94</v>
      </c>
      <c r="G31" s="25">
        <v>13.25</v>
      </c>
      <c r="H31" s="25">
        <v>16.89</v>
      </c>
      <c r="I31" s="25">
        <v>100.32</v>
      </c>
      <c r="J31" s="25">
        <f t="shared" si="4"/>
        <v>82.894415999999993</v>
      </c>
      <c r="K31" s="26">
        <v>2.5084853919233371E-3</v>
      </c>
    </row>
    <row r="32" spans="1:11" ht="38.25" outlineLevel="1" x14ac:dyDescent="0.2">
      <c r="A32" s="66" t="s">
        <v>106</v>
      </c>
      <c r="B32" s="66" t="s">
        <v>107</v>
      </c>
      <c r="C32" s="66" t="s">
        <v>40</v>
      </c>
      <c r="D32" s="66" t="s">
        <v>108</v>
      </c>
      <c r="E32" s="23" t="s">
        <v>55</v>
      </c>
      <c r="F32" s="24">
        <v>7.94</v>
      </c>
      <c r="G32" s="25">
        <v>16.84</v>
      </c>
      <c r="H32" s="25">
        <v>21.47</v>
      </c>
      <c r="I32" s="25">
        <v>170.47</v>
      </c>
      <c r="J32" s="25">
        <f t="shared" si="4"/>
        <v>140.85936100000001</v>
      </c>
      <c r="K32" s="26">
        <v>4.2625748082253919E-3</v>
      </c>
    </row>
    <row r="33" spans="1:11" ht="25.5" outlineLevel="1" x14ac:dyDescent="0.2">
      <c r="A33" s="66" t="s">
        <v>109</v>
      </c>
      <c r="B33" s="66" t="s">
        <v>110</v>
      </c>
      <c r="C33" s="66" t="s">
        <v>40</v>
      </c>
      <c r="D33" s="66" t="s">
        <v>111</v>
      </c>
      <c r="E33" s="23" t="s">
        <v>93</v>
      </c>
      <c r="F33" s="24">
        <v>4</v>
      </c>
      <c r="G33" s="25">
        <v>44.24</v>
      </c>
      <c r="H33" s="25">
        <v>56.42</v>
      </c>
      <c r="I33" s="25">
        <v>225.68</v>
      </c>
      <c r="J33" s="25">
        <f t="shared" si="4"/>
        <v>186.47938400000001</v>
      </c>
      <c r="K33" s="26">
        <v>5.6430919382900587E-3</v>
      </c>
    </row>
    <row r="34" spans="1:11" outlineLevel="1" x14ac:dyDescent="0.2">
      <c r="A34" s="66" t="s">
        <v>112</v>
      </c>
      <c r="B34" s="66" t="s">
        <v>113</v>
      </c>
      <c r="C34" s="66" t="s">
        <v>40</v>
      </c>
      <c r="D34" s="66" t="s">
        <v>114</v>
      </c>
      <c r="E34" s="23" t="s">
        <v>93</v>
      </c>
      <c r="F34" s="24">
        <v>4</v>
      </c>
      <c r="G34" s="25">
        <v>9.66</v>
      </c>
      <c r="H34" s="25">
        <v>12.32</v>
      </c>
      <c r="I34" s="25">
        <v>49.28</v>
      </c>
      <c r="J34" s="25">
        <f>I34-(I34*$H$2)</f>
        <v>40.720064000000001</v>
      </c>
      <c r="K34" s="26">
        <v>1.2322384381377796E-3</v>
      </c>
    </row>
    <row r="35" spans="1:11" ht="38.25" outlineLevel="1" x14ac:dyDescent="0.2">
      <c r="A35" s="66" t="s">
        <v>115</v>
      </c>
      <c r="B35" s="66" t="s">
        <v>116</v>
      </c>
      <c r="C35" s="66" t="s">
        <v>40</v>
      </c>
      <c r="D35" s="66" t="s">
        <v>117</v>
      </c>
      <c r="E35" s="23" t="s">
        <v>55</v>
      </c>
      <c r="F35" s="24">
        <v>62.65</v>
      </c>
      <c r="G35" s="25">
        <v>4.55</v>
      </c>
      <c r="H35" s="25">
        <v>5.8</v>
      </c>
      <c r="I35" s="25">
        <v>363.37</v>
      </c>
      <c r="J35" s="25">
        <f>I35-(I35*$H$2)</f>
        <v>300.25263100000001</v>
      </c>
      <c r="K35" s="26">
        <v>9.0860081425755881E-3</v>
      </c>
    </row>
    <row r="36" spans="1:11" ht="25.5" outlineLevel="1" x14ac:dyDescent="0.2">
      <c r="A36" s="66" t="s">
        <v>118</v>
      </c>
      <c r="B36" s="66" t="s">
        <v>119</v>
      </c>
      <c r="C36" s="66" t="s">
        <v>40</v>
      </c>
      <c r="D36" s="66" t="s">
        <v>120</v>
      </c>
      <c r="E36" s="23" t="s">
        <v>93</v>
      </c>
      <c r="F36" s="24">
        <v>0.6</v>
      </c>
      <c r="G36" s="25">
        <v>21.88</v>
      </c>
      <c r="H36" s="25">
        <v>27.9</v>
      </c>
      <c r="I36" s="25">
        <v>16.739999999999998</v>
      </c>
      <c r="J36" s="25">
        <f>I36-(I36*$H$2)</f>
        <v>13.832261999999998</v>
      </c>
      <c r="K36" s="26">
        <v>4.1858099542261428E-4</v>
      </c>
    </row>
    <row r="37" spans="1:11" x14ac:dyDescent="0.2">
      <c r="A37" s="65" t="s">
        <v>23</v>
      </c>
      <c r="B37" s="65" t="s">
        <v>36</v>
      </c>
      <c r="C37" s="65"/>
      <c r="D37" s="65" t="s">
        <v>24</v>
      </c>
      <c r="E37" s="19"/>
      <c r="F37" s="20">
        <v>1</v>
      </c>
      <c r="G37" s="20" t="s">
        <v>37</v>
      </c>
      <c r="H37" s="21">
        <v>12429.52</v>
      </c>
      <c r="I37" s="21">
        <v>12429.52</v>
      </c>
      <c r="J37" s="21">
        <f>SUM(J38:J52)</f>
        <v>10270.512375999999</v>
      </c>
      <c r="K37" s="22">
        <v>0.31079813943998164</v>
      </c>
    </row>
    <row r="38" spans="1:11" ht="25.5" outlineLevel="1" x14ac:dyDescent="0.2">
      <c r="A38" s="66" t="s">
        <v>121</v>
      </c>
      <c r="B38" s="66" t="s">
        <v>122</v>
      </c>
      <c r="C38" s="66" t="s">
        <v>40</v>
      </c>
      <c r="D38" s="66" t="s">
        <v>123</v>
      </c>
      <c r="E38" s="23" t="s">
        <v>93</v>
      </c>
      <c r="F38" s="24">
        <v>1</v>
      </c>
      <c r="G38" s="25">
        <v>1150.8900000000001</v>
      </c>
      <c r="H38" s="25">
        <v>1467.84</v>
      </c>
      <c r="I38" s="25">
        <v>1467.84</v>
      </c>
      <c r="J38" s="25">
        <f t="shared" ref="J38:J49" si="5">I38-(I38*$H$2)</f>
        <v>1212.8761919999999</v>
      </c>
      <c r="K38" s="26">
        <v>3.6703102050246725E-2</v>
      </c>
    </row>
    <row r="39" spans="1:11" ht="25.5" outlineLevel="1" x14ac:dyDescent="0.2">
      <c r="A39" s="66" t="s">
        <v>124</v>
      </c>
      <c r="B39" s="66" t="s">
        <v>125</v>
      </c>
      <c r="C39" s="66" t="s">
        <v>40</v>
      </c>
      <c r="D39" s="66" t="s">
        <v>126</v>
      </c>
      <c r="E39" s="23" t="s">
        <v>93</v>
      </c>
      <c r="F39" s="24">
        <v>1</v>
      </c>
      <c r="G39" s="25">
        <v>664.97</v>
      </c>
      <c r="H39" s="25">
        <v>848.1</v>
      </c>
      <c r="I39" s="25">
        <v>848.1</v>
      </c>
      <c r="J39" s="25">
        <f t="shared" si="5"/>
        <v>700.78503000000001</v>
      </c>
      <c r="K39" s="26">
        <v>2.1206603477772951E-2</v>
      </c>
    </row>
    <row r="40" spans="1:11" ht="25.5" outlineLevel="1" x14ac:dyDescent="0.2">
      <c r="A40" s="66" t="s">
        <v>127</v>
      </c>
      <c r="B40" s="66" t="s">
        <v>128</v>
      </c>
      <c r="C40" s="66" t="s">
        <v>49</v>
      </c>
      <c r="D40" s="66" t="s">
        <v>129</v>
      </c>
      <c r="E40" s="23" t="s">
        <v>93</v>
      </c>
      <c r="F40" s="24">
        <v>3</v>
      </c>
      <c r="G40" s="25">
        <v>90.4</v>
      </c>
      <c r="H40" s="25">
        <v>115.29</v>
      </c>
      <c r="I40" s="25">
        <v>345.87</v>
      </c>
      <c r="J40" s="25">
        <f t="shared" si="5"/>
        <v>285.79238099999998</v>
      </c>
      <c r="K40" s="26">
        <v>8.6484234699414336E-3</v>
      </c>
    </row>
    <row r="41" spans="1:11" ht="25.5" outlineLevel="1" x14ac:dyDescent="0.2">
      <c r="A41" s="66" t="s">
        <v>130</v>
      </c>
      <c r="B41" s="66" t="s">
        <v>131</v>
      </c>
      <c r="C41" s="66" t="s">
        <v>40</v>
      </c>
      <c r="D41" s="66" t="s">
        <v>132</v>
      </c>
      <c r="E41" s="23" t="s">
        <v>55</v>
      </c>
      <c r="F41" s="24">
        <v>351.47</v>
      </c>
      <c r="G41" s="25">
        <v>10.5</v>
      </c>
      <c r="H41" s="25">
        <v>13.39</v>
      </c>
      <c r="I41" s="25">
        <v>4706.18</v>
      </c>
      <c r="J41" s="25">
        <f t="shared" si="5"/>
        <v>3888.7165340000001</v>
      </c>
      <c r="K41" s="26">
        <v>0.11767727055185179</v>
      </c>
    </row>
    <row r="42" spans="1:11" ht="38.25" outlineLevel="1" x14ac:dyDescent="0.2">
      <c r="A42" s="66" t="s">
        <v>133</v>
      </c>
      <c r="B42" s="66" t="s">
        <v>107</v>
      </c>
      <c r="C42" s="66" t="s">
        <v>40</v>
      </c>
      <c r="D42" s="66" t="s">
        <v>108</v>
      </c>
      <c r="E42" s="23" t="s">
        <v>55</v>
      </c>
      <c r="F42" s="24">
        <v>7.7</v>
      </c>
      <c r="G42" s="25">
        <v>16.84</v>
      </c>
      <c r="H42" s="25">
        <v>21.47</v>
      </c>
      <c r="I42" s="25">
        <v>165.31</v>
      </c>
      <c r="J42" s="25">
        <f t="shared" si="5"/>
        <v>136.595653</v>
      </c>
      <c r="K42" s="26">
        <v>4.1335498418944069E-3</v>
      </c>
    </row>
    <row r="43" spans="1:11" ht="38.25" outlineLevel="1" x14ac:dyDescent="0.2">
      <c r="A43" s="66" t="s">
        <v>134</v>
      </c>
      <c r="B43" s="66" t="s">
        <v>135</v>
      </c>
      <c r="C43" s="66" t="s">
        <v>40</v>
      </c>
      <c r="D43" s="66" t="s">
        <v>136</v>
      </c>
      <c r="E43" s="23" t="s">
        <v>55</v>
      </c>
      <c r="F43" s="24">
        <v>16.28</v>
      </c>
      <c r="G43" s="25">
        <v>19.52</v>
      </c>
      <c r="H43" s="25">
        <v>24.89</v>
      </c>
      <c r="I43" s="25">
        <v>405.2</v>
      </c>
      <c r="J43" s="25">
        <f t="shared" si="5"/>
        <v>334.81675999999999</v>
      </c>
      <c r="K43" s="26">
        <v>1.01319605343634E-2</v>
      </c>
    </row>
    <row r="44" spans="1:11" ht="38.25" outlineLevel="1" x14ac:dyDescent="0.2">
      <c r="A44" s="66" t="s">
        <v>137</v>
      </c>
      <c r="B44" s="66" t="s">
        <v>138</v>
      </c>
      <c r="C44" s="66" t="s">
        <v>40</v>
      </c>
      <c r="D44" s="66" t="s">
        <v>139</v>
      </c>
      <c r="E44" s="23" t="s">
        <v>55</v>
      </c>
      <c r="F44" s="24">
        <v>3.96</v>
      </c>
      <c r="G44" s="25">
        <v>7.64</v>
      </c>
      <c r="H44" s="25">
        <v>9.74</v>
      </c>
      <c r="I44" s="25">
        <v>38.57</v>
      </c>
      <c r="J44" s="25">
        <f t="shared" si="5"/>
        <v>31.870391000000001</v>
      </c>
      <c r="K44" s="26">
        <v>9.64436618485677E-4</v>
      </c>
    </row>
    <row r="45" spans="1:11" ht="38.25" outlineLevel="1" x14ac:dyDescent="0.2">
      <c r="A45" s="66" t="s">
        <v>140</v>
      </c>
      <c r="B45" s="66" t="s">
        <v>141</v>
      </c>
      <c r="C45" s="66" t="s">
        <v>40</v>
      </c>
      <c r="D45" s="66" t="s">
        <v>142</v>
      </c>
      <c r="E45" s="23" t="s">
        <v>55</v>
      </c>
      <c r="F45" s="24">
        <v>3.52</v>
      </c>
      <c r="G45" s="25">
        <v>10.89</v>
      </c>
      <c r="H45" s="25">
        <v>13.88</v>
      </c>
      <c r="I45" s="25">
        <v>48.85</v>
      </c>
      <c r="J45" s="25">
        <f t="shared" si="5"/>
        <v>40.364755000000002</v>
      </c>
      <c r="K45" s="26">
        <v>1.2214863576101977E-3</v>
      </c>
    </row>
    <row r="46" spans="1:11" ht="25.5" outlineLevel="1" x14ac:dyDescent="0.2">
      <c r="A46" s="66" t="s">
        <v>143</v>
      </c>
      <c r="B46" s="66" t="s">
        <v>144</v>
      </c>
      <c r="C46" s="66" t="s">
        <v>49</v>
      </c>
      <c r="D46" s="66" t="s">
        <v>145</v>
      </c>
      <c r="E46" s="23" t="s">
        <v>93</v>
      </c>
      <c r="F46" s="24">
        <v>6</v>
      </c>
      <c r="G46" s="25">
        <v>73.38</v>
      </c>
      <c r="H46" s="25">
        <v>93.58</v>
      </c>
      <c r="I46" s="25">
        <v>561.48</v>
      </c>
      <c r="J46" s="25">
        <f t="shared" si="5"/>
        <v>463.95092399999999</v>
      </c>
      <c r="K46" s="26">
        <v>1.4039716685178581E-2</v>
      </c>
    </row>
    <row r="47" spans="1:11" ht="25.5" outlineLevel="1" x14ac:dyDescent="0.2">
      <c r="A47" s="66" t="s">
        <v>146</v>
      </c>
      <c r="B47" s="66" t="s">
        <v>147</v>
      </c>
      <c r="C47" s="66" t="s">
        <v>49</v>
      </c>
      <c r="D47" s="66" t="s">
        <v>148</v>
      </c>
      <c r="E47" s="23" t="s">
        <v>93</v>
      </c>
      <c r="F47" s="24">
        <v>1</v>
      </c>
      <c r="G47" s="25">
        <v>124.87</v>
      </c>
      <c r="H47" s="25">
        <v>159.25</v>
      </c>
      <c r="I47" s="25">
        <v>159.25</v>
      </c>
      <c r="J47" s="25">
        <f t="shared" si="5"/>
        <v>131.58827500000001</v>
      </c>
      <c r="K47" s="26">
        <v>3.9820205209708075E-3</v>
      </c>
    </row>
    <row r="48" spans="1:11" ht="25.5" outlineLevel="1" x14ac:dyDescent="0.2">
      <c r="A48" s="66" t="s">
        <v>149</v>
      </c>
      <c r="B48" s="66" t="s">
        <v>150</v>
      </c>
      <c r="C48" s="66" t="s">
        <v>49</v>
      </c>
      <c r="D48" s="66" t="s">
        <v>151</v>
      </c>
      <c r="E48" s="23" t="s">
        <v>55</v>
      </c>
      <c r="F48" s="24">
        <v>1</v>
      </c>
      <c r="G48" s="25">
        <v>26.17</v>
      </c>
      <c r="H48" s="25">
        <v>33.369999999999997</v>
      </c>
      <c r="I48" s="25">
        <v>33.369999999999997</v>
      </c>
      <c r="J48" s="25">
        <f t="shared" si="5"/>
        <v>27.573630999999999</v>
      </c>
      <c r="K48" s="26">
        <v>8.3441145861724245E-4</v>
      </c>
    </row>
    <row r="49" spans="1:13" ht="25.5" outlineLevel="1" x14ac:dyDescent="0.2">
      <c r="A49" s="66" t="s">
        <v>152</v>
      </c>
      <c r="B49" s="66" t="s">
        <v>153</v>
      </c>
      <c r="C49" s="66" t="s">
        <v>49</v>
      </c>
      <c r="D49" s="66" t="s">
        <v>154</v>
      </c>
      <c r="E49" s="23" t="s">
        <v>93</v>
      </c>
      <c r="F49" s="24">
        <v>19</v>
      </c>
      <c r="G49" s="25">
        <v>45.02</v>
      </c>
      <c r="H49" s="25">
        <v>57.41</v>
      </c>
      <c r="I49" s="25">
        <v>1090.79</v>
      </c>
      <c r="J49" s="25">
        <f t="shared" si="5"/>
        <v>901.31977699999993</v>
      </c>
      <c r="K49" s="26">
        <v>2.7275027717863408E-2</v>
      </c>
    </row>
    <row r="50" spans="1:13" ht="25.5" outlineLevel="1" x14ac:dyDescent="0.2">
      <c r="A50" s="66" t="s">
        <v>155</v>
      </c>
      <c r="B50" s="66" t="s">
        <v>156</v>
      </c>
      <c r="C50" s="66" t="s">
        <v>49</v>
      </c>
      <c r="D50" s="66" t="s">
        <v>157</v>
      </c>
      <c r="E50" s="23" t="s">
        <v>93</v>
      </c>
      <c r="F50" s="24">
        <v>18</v>
      </c>
      <c r="G50" s="25">
        <v>86.19</v>
      </c>
      <c r="H50" s="25">
        <v>109.92</v>
      </c>
      <c r="I50" s="25">
        <v>1978.56</v>
      </c>
      <c r="J50" s="25">
        <f>I50-(I50*$H$2)</f>
        <v>1634.8841279999999</v>
      </c>
      <c r="K50" s="26">
        <v>4.9473573136401897E-2</v>
      </c>
    </row>
    <row r="51" spans="1:13" ht="25.5" outlineLevel="1" x14ac:dyDescent="0.2">
      <c r="A51" s="66" t="s">
        <v>158</v>
      </c>
      <c r="B51" s="66" t="s">
        <v>159</v>
      </c>
      <c r="C51" s="66" t="s">
        <v>49</v>
      </c>
      <c r="D51" s="66" t="s">
        <v>160</v>
      </c>
      <c r="E51" s="23" t="s">
        <v>161</v>
      </c>
      <c r="F51" s="24">
        <v>16.829999999999998</v>
      </c>
      <c r="G51" s="25">
        <v>13.92</v>
      </c>
      <c r="H51" s="25">
        <v>17.75</v>
      </c>
      <c r="I51" s="25">
        <v>298.73</v>
      </c>
      <c r="J51" s="25">
        <f>I51-(I51*$H$2)</f>
        <v>246.84059900000003</v>
      </c>
      <c r="K51" s="26">
        <v>7.469695386057202E-3</v>
      </c>
    </row>
    <row r="52" spans="1:13" ht="25.5" outlineLevel="1" x14ac:dyDescent="0.2">
      <c r="A52" s="66" t="s">
        <v>162</v>
      </c>
      <c r="B52" s="66" t="s">
        <v>163</v>
      </c>
      <c r="C52" s="66" t="s">
        <v>49</v>
      </c>
      <c r="D52" s="66" t="s">
        <v>164</v>
      </c>
      <c r="E52" s="23" t="s">
        <v>93</v>
      </c>
      <c r="F52" s="24">
        <v>1</v>
      </c>
      <c r="G52" s="25">
        <v>220.66</v>
      </c>
      <c r="H52" s="25">
        <v>281.42</v>
      </c>
      <c r="I52" s="25">
        <v>281.42</v>
      </c>
      <c r="J52" s="25">
        <f>I52-(I52*$H$2)</f>
        <v>232.53734600000001</v>
      </c>
      <c r="K52" s="26">
        <v>7.0368616327259326E-3</v>
      </c>
    </row>
    <row r="53" spans="1:13" x14ac:dyDescent="0.2">
      <c r="A53" s="65" t="s">
        <v>25</v>
      </c>
      <c r="B53" s="65" t="s">
        <v>36</v>
      </c>
      <c r="C53" s="65"/>
      <c r="D53" s="65" t="s">
        <v>26</v>
      </c>
      <c r="E53" s="19"/>
      <c r="F53" s="20">
        <v>1</v>
      </c>
      <c r="G53" s="20" t="s">
        <v>37</v>
      </c>
      <c r="H53" s="21">
        <v>918.16</v>
      </c>
      <c r="I53" s="21">
        <v>918.16</v>
      </c>
      <c r="J53" s="21">
        <f>SUM(J54:J57)</f>
        <v>758.6756079999999</v>
      </c>
      <c r="K53" s="22">
        <v>2.2958442458615742E-2</v>
      </c>
    </row>
    <row r="54" spans="1:13" ht="26.1" customHeight="1" outlineLevel="1" x14ac:dyDescent="0.2">
      <c r="A54" s="66" t="s">
        <v>165</v>
      </c>
      <c r="B54" s="66" t="s">
        <v>166</v>
      </c>
      <c r="C54" s="66" t="s">
        <v>49</v>
      </c>
      <c r="D54" s="66" t="s">
        <v>167</v>
      </c>
      <c r="E54" s="23" t="s">
        <v>168</v>
      </c>
      <c r="F54" s="24">
        <v>1</v>
      </c>
      <c r="G54" s="25">
        <v>592</v>
      </c>
      <c r="H54" s="25">
        <v>755.03</v>
      </c>
      <c r="I54" s="25">
        <v>755.03</v>
      </c>
      <c r="J54" s="25">
        <f t="shared" ref="J54:J57" si="6">I54-(I54*$H$2)</f>
        <v>623.88128899999992</v>
      </c>
      <c r="K54" s="26">
        <v>1.8879403164512334E-2</v>
      </c>
    </row>
    <row r="55" spans="1:13" ht="26.1" customHeight="1" outlineLevel="1" x14ac:dyDescent="0.2">
      <c r="A55" s="66" t="s">
        <v>169</v>
      </c>
      <c r="B55" s="66" t="s">
        <v>170</v>
      </c>
      <c r="C55" s="66" t="s">
        <v>40</v>
      </c>
      <c r="D55" s="66" t="s">
        <v>171</v>
      </c>
      <c r="E55" s="23" t="s">
        <v>59</v>
      </c>
      <c r="F55" s="24">
        <v>1.6</v>
      </c>
      <c r="G55" s="25">
        <v>2.95</v>
      </c>
      <c r="H55" s="25">
        <v>3.76</v>
      </c>
      <c r="I55" s="25">
        <v>6.01</v>
      </c>
      <c r="J55" s="25">
        <f t="shared" si="6"/>
        <v>4.9660630000000001</v>
      </c>
      <c r="K55" s="26">
        <v>1.5027907900178684E-4</v>
      </c>
    </row>
    <row r="56" spans="1:13" s="60" customFormat="1" ht="26.1" customHeight="1" outlineLevel="1" x14ac:dyDescent="0.2">
      <c r="A56" s="66" t="s">
        <v>172</v>
      </c>
      <c r="B56" s="66" t="s">
        <v>173</v>
      </c>
      <c r="C56" s="66" t="s">
        <v>40</v>
      </c>
      <c r="D56" s="66" t="s">
        <v>174</v>
      </c>
      <c r="E56" s="23" t="s">
        <v>59</v>
      </c>
      <c r="F56" s="24">
        <v>51.69</v>
      </c>
      <c r="G56" s="25">
        <v>1.9</v>
      </c>
      <c r="H56" s="25">
        <v>2.42</v>
      </c>
      <c r="I56" s="25">
        <v>125.08</v>
      </c>
      <c r="J56" s="25">
        <f t="shared" si="6"/>
        <v>103.353604</v>
      </c>
      <c r="K56" s="26">
        <v>3.1276051916045754E-3</v>
      </c>
    </row>
    <row r="57" spans="1:13" s="60" customFormat="1" ht="26.1" customHeight="1" outlineLevel="1" x14ac:dyDescent="0.2">
      <c r="A57" s="66" t="s">
        <v>175</v>
      </c>
      <c r="B57" s="66" t="s">
        <v>176</v>
      </c>
      <c r="C57" s="66" t="s">
        <v>40</v>
      </c>
      <c r="D57" s="66" t="s">
        <v>177</v>
      </c>
      <c r="E57" s="23" t="s">
        <v>59</v>
      </c>
      <c r="F57" s="24">
        <v>51.69</v>
      </c>
      <c r="G57" s="25">
        <v>0.49</v>
      </c>
      <c r="H57" s="25">
        <v>0.62</v>
      </c>
      <c r="I57" s="25">
        <v>32.04</v>
      </c>
      <c r="J57" s="25">
        <f t="shared" si="6"/>
        <v>26.474651999999999</v>
      </c>
      <c r="K57" s="26">
        <v>8.0115502349704666E-4</v>
      </c>
    </row>
    <row r="58" spans="1:13" x14ac:dyDescent="0.2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spans="1:13" x14ac:dyDescent="0.2">
      <c r="A59" s="98"/>
      <c r="B59" s="98"/>
      <c r="C59" s="98"/>
      <c r="D59" s="32"/>
      <c r="E59" s="33"/>
      <c r="F59" s="99" t="s">
        <v>27</v>
      </c>
      <c r="G59" s="98"/>
      <c r="H59" s="100">
        <v>31360.14</v>
      </c>
      <c r="I59" s="98"/>
      <c r="J59" s="98"/>
      <c r="K59" s="98"/>
      <c r="M59" s="53"/>
    </row>
    <row r="60" spans="1:13" x14ac:dyDescent="0.2">
      <c r="A60" s="98"/>
      <c r="B60" s="98"/>
      <c r="C60" s="98"/>
      <c r="D60" s="32"/>
      <c r="E60" s="33"/>
      <c r="F60" s="99" t="s">
        <v>28</v>
      </c>
      <c r="G60" s="98"/>
      <c r="H60" s="100">
        <v>8632.1200000000008</v>
      </c>
      <c r="I60" s="98"/>
      <c r="J60" s="98"/>
      <c r="K60" s="98"/>
    </row>
    <row r="61" spans="1:13" x14ac:dyDescent="0.2">
      <c r="A61" s="98"/>
      <c r="B61" s="98"/>
      <c r="C61" s="98"/>
      <c r="D61" s="32"/>
      <c r="E61" s="33"/>
      <c r="F61" s="99" t="s">
        <v>398</v>
      </c>
      <c r="G61" s="98"/>
      <c r="H61" s="100">
        <f>J5+J9+J14+J23+J27+J37+J53-(H59+H60)</f>
        <v>-6972.8575350000028</v>
      </c>
      <c r="I61" s="98"/>
      <c r="J61" s="98"/>
      <c r="K61" s="98"/>
    </row>
    <row r="62" spans="1:13" x14ac:dyDescent="0.2">
      <c r="A62" s="33"/>
      <c r="B62" s="33"/>
      <c r="C62" s="33"/>
      <c r="D62" s="32"/>
      <c r="E62" s="33"/>
      <c r="F62" s="99" t="s">
        <v>29</v>
      </c>
      <c r="G62" s="98"/>
      <c r="H62" s="100">
        <f>SUM(H59:K61)</f>
        <v>33019.402464999999</v>
      </c>
      <c r="I62" s="98"/>
      <c r="J62" s="98"/>
      <c r="K62" s="98"/>
    </row>
    <row r="63" spans="1:13" ht="60" customHeight="1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3" ht="69.95" customHeight="1" x14ac:dyDescent="0.2">
      <c r="A64" s="101"/>
      <c r="B64" s="94"/>
      <c r="C64" s="94"/>
      <c r="D64" s="94"/>
      <c r="E64" s="94"/>
      <c r="F64" s="94"/>
      <c r="G64" s="94"/>
      <c r="H64" s="94"/>
      <c r="I64" s="94"/>
      <c r="J64" s="94"/>
      <c r="K64" s="94"/>
    </row>
  </sheetData>
  <mergeCells count="17">
    <mergeCell ref="E1:F1"/>
    <mergeCell ref="I1:K1"/>
    <mergeCell ref="E2:F2"/>
    <mergeCell ref="I2:K2"/>
    <mergeCell ref="A3:K3"/>
    <mergeCell ref="A59:C59"/>
    <mergeCell ref="F59:G59"/>
    <mergeCell ref="H59:K59"/>
    <mergeCell ref="A60:C60"/>
    <mergeCell ref="F60:G60"/>
    <mergeCell ref="H60:K60"/>
    <mergeCell ref="A61:C61"/>
    <mergeCell ref="F61:G61"/>
    <mergeCell ref="H61:K61"/>
    <mergeCell ref="A64:K64"/>
    <mergeCell ref="F62:G62"/>
    <mergeCell ref="H62:K62"/>
  </mergeCells>
  <pageMargins left="0.511811024" right="0.511811024" top="0.78740157499999996" bottom="0.78740157499999996" header="0.31496062000000002" footer="0.31496062000000002"/>
  <pageSetup paperSize="9" scale="4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59B-2C89-4E8D-A096-2F3AFA36DB0B}">
  <sheetPr>
    <pageSetUpPr fitToPage="1"/>
  </sheetPr>
  <dimension ref="A1:J460"/>
  <sheetViews>
    <sheetView topLeftCell="A441" workbookViewId="0">
      <selection activeCell="H458" sqref="H458:J458"/>
    </sheetView>
  </sheetViews>
  <sheetFormatPr defaultRowHeight="14.25" x14ac:dyDescent="0.2"/>
  <cols>
    <col min="1" max="1" width="10" bestFit="1" customWidth="1"/>
    <col min="2" max="2" width="12" bestFit="1" customWidth="1"/>
    <col min="3" max="3" width="10" bestFit="1" customWidth="1"/>
    <col min="4" max="4" width="60" bestFit="1" customWidth="1"/>
    <col min="5" max="5" width="15" bestFit="1" customWidth="1"/>
    <col min="6" max="8" width="12" bestFit="1" customWidth="1"/>
    <col min="9" max="9" width="13" bestFit="1" customWidth="1"/>
    <col min="10" max="10" width="14" bestFit="1" customWidth="1"/>
  </cols>
  <sheetData>
    <row r="1" spans="1:10" ht="15" x14ac:dyDescent="0.2">
      <c r="A1" s="13"/>
      <c r="B1" s="13"/>
      <c r="C1" s="13"/>
      <c r="D1" s="13" t="s">
        <v>0</v>
      </c>
      <c r="E1" s="102" t="s">
        <v>1</v>
      </c>
      <c r="F1" s="102"/>
      <c r="G1" s="55" t="s">
        <v>2</v>
      </c>
      <c r="H1" s="55" t="s">
        <v>396</v>
      </c>
      <c r="I1" s="102" t="s">
        <v>3</v>
      </c>
      <c r="J1" s="102"/>
    </row>
    <row r="2" spans="1:10" ht="80.099999999999994" customHeight="1" x14ac:dyDescent="0.2">
      <c r="A2" s="14"/>
      <c r="B2" s="14"/>
      <c r="C2" s="14"/>
      <c r="D2" s="14" t="s">
        <v>4</v>
      </c>
      <c r="E2" s="99" t="s">
        <v>5</v>
      </c>
      <c r="F2" s="99"/>
      <c r="G2" s="52">
        <v>0.27539999999999998</v>
      </c>
      <c r="H2" s="52">
        <v>0.17369999999999999</v>
      </c>
      <c r="I2" s="99" t="s">
        <v>6</v>
      </c>
      <c r="J2" s="99"/>
    </row>
    <row r="3" spans="1:10" ht="15" x14ac:dyDescent="0.25">
      <c r="A3" s="103" t="s">
        <v>178</v>
      </c>
      <c r="B3" s="94"/>
      <c r="C3" s="94"/>
      <c r="D3" s="94"/>
      <c r="E3" s="94"/>
      <c r="F3" s="94"/>
      <c r="G3" s="94"/>
      <c r="H3" s="94"/>
      <c r="I3" s="94"/>
      <c r="J3" s="94"/>
    </row>
    <row r="4" spans="1:10" ht="24" customHeight="1" x14ac:dyDescent="0.2">
      <c r="A4" s="65" t="s">
        <v>13</v>
      </c>
      <c r="B4" s="65"/>
      <c r="C4" s="65"/>
      <c r="D4" s="65" t="s">
        <v>14</v>
      </c>
      <c r="E4" s="65"/>
      <c r="F4" s="109"/>
      <c r="G4" s="109"/>
      <c r="H4" s="20"/>
      <c r="I4" s="65"/>
      <c r="J4" s="21">
        <v>11925.3</v>
      </c>
    </row>
    <row r="5" spans="1:10" ht="18" customHeight="1" x14ac:dyDescent="0.2">
      <c r="A5" s="64" t="s">
        <v>38</v>
      </c>
      <c r="B5" s="16" t="s">
        <v>31</v>
      </c>
      <c r="C5" s="64" t="s">
        <v>32</v>
      </c>
      <c r="D5" s="64" t="s">
        <v>9</v>
      </c>
      <c r="E5" s="107" t="s">
        <v>179</v>
      </c>
      <c r="F5" s="107"/>
      <c r="G5" s="17" t="s">
        <v>33</v>
      </c>
      <c r="H5" s="16" t="s">
        <v>10</v>
      </c>
      <c r="I5" s="16" t="s">
        <v>34</v>
      </c>
      <c r="J5" s="16" t="s">
        <v>11</v>
      </c>
    </row>
    <row r="6" spans="1:10" ht="26.1" customHeight="1" x14ac:dyDescent="0.2">
      <c r="A6" s="66" t="s">
        <v>180</v>
      </c>
      <c r="B6" s="24" t="s">
        <v>39</v>
      </c>
      <c r="C6" s="66" t="s">
        <v>40</v>
      </c>
      <c r="D6" s="66" t="s">
        <v>41</v>
      </c>
      <c r="E6" s="108" t="s">
        <v>181</v>
      </c>
      <c r="F6" s="108"/>
      <c r="G6" s="23" t="s">
        <v>42</v>
      </c>
      <c r="H6" s="35">
        <v>1</v>
      </c>
      <c r="I6" s="25">
        <v>118.93</v>
      </c>
      <c r="J6" s="25">
        <v>118.93</v>
      </c>
    </row>
    <row r="7" spans="1:10" ht="26.1" customHeight="1" x14ac:dyDescent="0.2">
      <c r="A7" s="67" t="s">
        <v>182</v>
      </c>
      <c r="B7" s="36" t="s">
        <v>183</v>
      </c>
      <c r="C7" s="67" t="s">
        <v>40</v>
      </c>
      <c r="D7" s="67" t="s">
        <v>184</v>
      </c>
      <c r="E7" s="105" t="s">
        <v>181</v>
      </c>
      <c r="F7" s="105"/>
      <c r="G7" s="37" t="s">
        <v>42</v>
      </c>
      <c r="H7" s="38">
        <v>1</v>
      </c>
      <c r="I7" s="39">
        <v>1.69</v>
      </c>
      <c r="J7" s="39">
        <v>1.69</v>
      </c>
    </row>
    <row r="8" spans="1:10" ht="26.1" customHeight="1" x14ac:dyDescent="0.2">
      <c r="A8" s="68" t="s">
        <v>185</v>
      </c>
      <c r="B8" s="40" t="s">
        <v>186</v>
      </c>
      <c r="C8" s="68" t="s">
        <v>40</v>
      </c>
      <c r="D8" s="68" t="s">
        <v>187</v>
      </c>
      <c r="E8" s="106" t="s">
        <v>188</v>
      </c>
      <c r="F8" s="106"/>
      <c r="G8" s="41" t="s">
        <v>42</v>
      </c>
      <c r="H8" s="42">
        <v>1</v>
      </c>
      <c r="I8" s="43">
        <v>0.01</v>
      </c>
      <c r="J8" s="43">
        <v>0.01</v>
      </c>
    </row>
    <row r="9" spans="1:10" ht="26.1" customHeight="1" x14ac:dyDescent="0.2">
      <c r="A9" s="68" t="s">
        <v>185</v>
      </c>
      <c r="B9" s="40" t="s">
        <v>189</v>
      </c>
      <c r="C9" s="68" t="s">
        <v>40</v>
      </c>
      <c r="D9" s="68" t="s">
        <v>190</v>
      </c>
      <c r="E9" s="106" t="s">
        <v>191</v>
      </c>
      <c r="F9" s="106"/>
      <c r="G9" s="41" t="s">
        <v>42</v>
      </c>
      <c r="H9" s="42">
        <v>1</v>
      </c>
      <c r="I9" s="43">
        <v>0.08</v>
      </c>
      <c r="J9" s="43">
        <v>0.08</v>
      </c>
    </row>
    <row r="10" spans="1:10" ht="26.1" customHeight="1" x14ac:dyDescent="0.2">
      <c r="A10" s="68" t="s">
        <v>185</v>
      </c>
      <c r="B10" s="40" t="s">
        <v>192</v>
      </c>
      <c r="C10" s="68" t="s">
        <v>40</v>
      </c>
      <c r="D10" s="68" t="s">
        <v>193</v>
      </c>
      <c r="E10" s="106" t="s">
        <v>188</v>
      </c>
      <c r="F10" s="106"/>
      <c r="G10" s="41" t="s">
        <v>42</v>
      </c>
      <c r="H10" s="42">
        <v>1</v>
      </c>
      <c r="I10" s="43">
        <v>0.77</v>
      </c>
      <c r="J10" s="43">
        <v>0.77</v>
      </c>
    </row>
    <row r="11" spans="1:10" ht="26.1" customHeight="1" x14ac:dyDescent="0.2">
      <c r="A11" s="68" t="s">
        <v>185</v>
      </c>
      <c r="B11" s="40" t="s">
        <v>194</v>
      </c>
      <c r="C11" s="68" t="s">
        <v>40</v>
      </c>
      <c r="D11" s="68" t="s">
        <v>195</v>
      </c>
      <c r="E11" s="106" t="s">
        <v>196</v>
      </c>
      <c r="F11" s="106"/>
      <c r="G11" s="41" t="s">
        <v>42</v>
      </c>
      <c r="H11" s="42">
        <v>1</v>
      </c>
      <c r="I11" s="43">
        <v>1.43</v>
      </c>
      <c r="J11" s="43">
        <v>1.43</v>
      </c>
    </row>
    <row r="12" spans="1:10" ht="24" customHeight="1" x14ac:dyDescent="0.2">
      <c r="A12" s="68" t="s">
        <v>185</v>
      </c>
      <c r="B12" s="40" t="s">
        <v>197</v>
      </c>
      <c r="C12" s="68" t="s">
        <v>40</v>
      </c>
      <c r="D12" s="68" t="s">
        <v>198</v>
      </c>
      <c r="E12" s="106" t="s">
        <v>199</v>
      </c>
      <c r="F12" s="106"/>
      <c r="G12" s="41" t="s">
        <v>42</v>
      </c>
      <c r="H12" s="42">
        <v>1</v>
      </c>
      <c r="I12" s="43">
        <v>114.95</v>
      </c>
      <c r="J12" s="43">
        <v>114.95</v>
      </c>
    </row>
    <row r="13" spans="1:10" x14ac:dyDescent="0.2">
      <c r="A13" s="63"/>
      <c r="B13" s="63"/>
      <c r="C13" s="63"/>
      <c r="D13" s="63"/>
      <c r="E13" s="63" t="s">
        <v>200</v>
      </c>
      <c r="F13" s="44">
        <v>116.64</v>
      </c>
      <c r="G13" s="63" t="s">
        <v>201</v>
      </c>
      <c r="H13" s="44">
        <v>0</v>
      </c>
      <c r="I13" s="63" t="s">
        <v>202</v>
      </c>
      <c r="J13" s="44">
        <v>116.64</v>
      </c>
    </row>
    <row r="14" spans="1:10" ht="14.25" customHeight="1" x14ac:dyDescent="0.2">
      <c r="A14" s="63"/>
      <c r="B14" s="63"/>
      <c r="C14" s="63"/>
      <c r="D14" s="63"/>
      <c r="E14" s="63" t="s">
        <v>203</v>
      </c>
      <c r="F14" s="44">
        <v>32.75</v>
      </c>
      <c r="G14" s="63"/>
      <c r="H14" s="104" t="s">
        <v>204</v>
      </c>
      <c r="I14" s="104"/>
      <c r="J14" s="44">
        <v>151.68</v>
      </c>
    </row>
    <row r="15" spans="1:10" ht="50.1" customHeight="1" thickBot="1" x14ac:dyDescent="0.25">
      <c r="A15" s="61"/>
      <c r="B15" s="61"/>
      <c r="C15" s="61"/>
      <c r="D15" s="61"/>
      <c r="E15" s="61"/>
      <c r="F15" s="61"/>
      <c r="G15" s="61" t="s">
        <v>205</v>
      </c>
      <c r="H15" s="45" t="s">
        <v>206</v>
      </c>
      <c r="I15" s="61" t="s">
        <v>207</v>
      </c>
      <c r="J15" s="62">
        <v>5460.48</v>
      </c>
    </row>
    <row r="16" spans="1:10" ht="0.95" customHeight="1" thickTop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</row>
    <row r="17" spans="1:10" ht="18" customHeight="1" x14ac:dyDescent="0.2">
      <c r="A17" s="64" t="s">
        <v>43</v>
      </c>
      <c r="B17" s="16" t="s">
        <v>31</v>
      </c>
      <c r="C17" s="64" t="s">
        <v>32</v>
      </c>
      <c r="D17" s="64" t="s">
        <v>9</v>
      </c>
      <c r="E17" s="107" t="s">
        <v>179</v>
      </c>
      <c r="F17" s="107"/>
      <c r="G17" s="17" t="s">
        <v>33</v>
      </c>
      <c r="H17" s="16" t="s">
        <v>10</v>
      </c>
      <c r="I17" s="16" t="s">
        <v>34</v>
      </c>
      <c r="J17" s="16" t="s">
        <v>11</v>
      </c>
    </row>
    <row r="18" spans="1:10" ht="26.1" customHeight="1" x14ac:dyDescent="0.2">
      <c r="A18" s="66" t="s">
        <v>180</v>
      </c>
      <c r="B18" s="24" t="s">
        <v>44</v>
      </c>
      <c r="C18" s="66" t="s">
        <v>40</v>
      </c>
      <c r="D18" s="66" t="s">
        <v>45</v>
      </c>
      <c r="E18" s="108" t="s">
        <v>181</v>
      </c>
      <c r="F18" s="108"/>
      <c r="G18" s="23" t="s">
        <v>46</v>
      </c>
      <c r="H18" s="35">
        <v>1</v>
      </c>
      <c r="I18" s="25">
        <v>4797.3900000000003</v>
      </c>
      <c r="J18" s="25">
        <v>4797.3900000000003</v>
      </c>
    </row>
    <row r="19" spans="1:10" ht="26.1" customHeight="1" x14ac:dyDescent="0.2">
      <c r="A19" s="67" t="s">
        <v>182</v>
      </c>
      <c r="B19" s="36" t="s">
        <v>208</v>
      </c>
      <c r="C19" s="67" t="s">
        <v>40</v>
      </c>
      <c r="D19" s="67" t="s">
        <v>209</v>
      </c>
      <c r="E19" s="105" t="s">
        <v>181</v>
      </c>
      <c r="F19" s="105"/>
      <c r="G19" s="37" t="s">
        <v>46</v>
      </c>
      <c r="H19" s="38">
        <v>1</v>
      </c>
      <c r="I19" s="39">
        <v>66.86</v>
      </c>
      <c r="J19" s="39">
        <v>66.86</v>
      </c>
    </row>
    <row r="20" spans="1:10" ht="26.1" customHeight="1" x14ac:dyDescent="0.2">
      <c r="A20" s="68" t="s">
        <v>185</v>
      </c>
      <c r="B20" s="40" t="s">
        <v>210</v>
      </c>
      <c r="C20" s="68" t="s">
        <v>40</v>
      </c>
      <c r="D20" s="68" t="s">
        <v>211</v>
      </c>
      <c r="E20" s="106" t="s">
        <v>196</v>
      </c>
      <c r="F20" s="106"/>
      <c r="G20" s="41" t="s">
        <v>46</v>
      </c>
      <c r="H20" s="42">
        <v>1</v>
      </c>
      <c r="I20" s="43">
        <v>270.51</v>
      </c>
      <c r="J20" s="43">
        <v>270.51</v>
      </c>
    </row>
    <row r="21" spans="1:10" ht="24" customHeight="1" x14ac:dyDescent="0.2">
      <c r="A21" s="68" t="s">
        <v>185</v>
      </c>
      <c r="B21" s="40" t="s">
        <v>212</v>
      </c>
      <c r="C21" s="68" t="s">
        <v>40</v>
      </c>
      <c r="D21" s="68" t="s">
        <v>213</v>
      </c>
      <c r="E21" s="106" t="s">
        <v>199</v>
      </c>
      <c r="F21" s="106"/>
      <c r="G21" s="41" t="s">
        <v>46</v>
      </c>
      <c r="H21" s="42">
        <v>1</v>
      </c>
      <c r="I21" s="43">
        <v>4187.1099999999997</v>
      </c>
      <c r="J21" s="43">
        <v>4187.1099999999997</v>
      </c>
    </row>
    <row r="22" spans="1:10" ht="26.1" customHeight="1" x14ac:dyDescent="0.2">
      <c r="A22" s="68" t="s">
        <v>185</v>
      </c>
      <c r="B22" s="40" t="s">
        <v>214</v>
      </c>
      <c r="C22" s="68" t="s">
        <v>40</v>
      </c>
      <c r="D22" s="68" t="s">
        <v>215</v>
      </c>
      <c r="E22" s="106" t="s">
        <v>188</v>
      </c>
      <c r="F22" s="106"/>
      <c r="G22" s="41" t="s">
        <v>46</v>
      </c>
      <c r="H22" s="42">
        <v>1</v>
      </c>
      <c r="I22" s="43">
        <v>241.99</v>
      </c>
      <c r="J22" s="43">
        <v>241.99</v>
      </c>
    </row>
    <row r="23" spans="1:10" ht="26.1" customHeight="1" x14ac:dyDescent="0.2">
      <c r="A23" s="68" t="s">
        <v>185</v>
      </c>
      <c r="B23" s="40" t="s">
        <v>216</v>
      </c>
      <c r="C23" s="68" t="s">
        <v>40</v>
      </c>
      <c r="D23" s="68" t="s">
        <v>217</v>
      </c>
      <c r="E23" s="106" t="s">
        <v>196</v>
      </c>
      <c r="F23" s="106"/>
      <c r="G23" s="41" t="s">
        <v>46</v>
      </c>
      <c r="H23" s="42">
        <v>1</v>
      </c>
      <c r="I23" s="43">
        <v>15.46</v>
      </c>
      <c r="J23" s="43">
        <v>15.46</v>
      </c>
    </row>
    <row r="24" spans="1:10" ht="26.1" customHeight="1" x14ac:dyDescent="0.2">
      <c r="A24" s="68" t="s">
        <v>185</v>
      </c>
      <c r="B24" s="40" t="s">
        <v>218</v>
      </c>
      <c r="C24" s="68" t="s">
        <v>40</v>
      </c>
      <c r="D24" s="68" t="s">
        <v>219</v>
      </c>
      <c r="E24" s="106" t="s">
        <v>188</v>
      </c>
      <c r="F24" s="106"/>
      <c r="G24" s="41" t="s">
        <v>46</v>
      </c>
      <c r="H24" s="42">
        <v>1</v>
      </c>
      <c r="I24" s="43">
        <v>15.46</v>
      </c>
      <c r="J24" s="43">
        <v>15.46</v>
      </c>
    </row>
    <row r="25" spans="1:10" x14ac:dyDescent="0.2">
      <c r="A25" s="63"/>
      <c r="B25" s="63"/>
      <c r="C25" s="63"/>
      <c r="D25" s="63"/>
      <c r="E25" s="63" t="s">
        <v>200</v>
      </c>
      <c r="F25" s="44">
        <v>4253.97</v>
      </c>
      <c r="G25" s="63" t="s">
        <v>201</v>
      </c>
      <c r="H25" s="44">
        <v>0</v>
      </c>
      <c r="I25" s="63" t="s">
        <v>202</v>
      </c>
      <c r="J25" s="44">
        <v>4253.97</v>
      </c>
    </row>
    <row r="26" spans="1:10" ht="14.25" customHeight="1" x14ac:dyDescent="0.2">
      <c r="A26" s="63"/>
      <c r="B26" s="63"/>
      <c r="C26" s="63"/>
      <c r="D26" s="63"/>
      <c r="E26" s="63" t="s">
        <v>203</v>
      </c>
      <c r="F26" s="44">
        <v>1321.2</v>
      </c>
      <c r="G26" s="63"/>
      <c r="H26" s="104" t="s">
        <v>204</v>
      </c>
      <c r="I26" s="104"/>
      <c r="J26" s="44">
        <v>6118.59</v>
      </c>
    </row>
    <row r="27" spans="1:10" ht="50.1" customHeight="1" thickBot="1" x14ac:dyDescent="0.25">
      <c r="A27" s="61"/>
      <c r="B27" s="61"/>
      <c r="C27" s="61"/>
      <c r="D27" s="61"/>
      <c r="E27" s="61"/>
      <c r="F27" s="61"/>
      <c r="G27" s="61" t="s">
        <v>205</v>
      </c>
      <c r="H27" s="45" t="s">
        <v>220</v>
      </c>
      <c r="I27" s="61" t="s">
        <v>207</v>
      </c>
      <c r="J27" s="62">
        <v>6118.59</v>
      </c>
    </row>
    <row r="28" spans="1:10" ht="0.95" customHeight="1" thickTop="1" x14ac:dyDescent="0.2">
      <c r="A28" s="47"/>
      <c r="B28" s="47"/>
      <c r="C28" s="47"/>
      <c r="D28" s="47"/>
      <c r="E28" s="47"/>
      <c r="F28" s="47"/>
      <c r="G28" s="47"/>
      <c r="H28" s="47"/>
      <c r="I28" s="47"/>
      <c r="J28" s="47"/>
    </row>
    <row r="29" spans="1:10" ht="18" customHeight="1" x14ac:dyDescent="0.2">
      <c r="A29" s="64"/>
      <c r="B29" s="16" t="s">
        <v>31</v>
      </c>
      <c r="C29" s="64" t="s">
        <v>32</v>
      </c>
      <c r="D29" s="64" t="s">
        <v>9</v>
      </c>
      <c r="E29" s="107" t="s">
        <v>179</v>
      </c>
      <c r="F29" s="107"/>
      <c r="G29" s="17" t="s">
        <v>33</v>
      </c>
      <c r="H29" s="16" t="s">
        <v>10</v>
      </c>
      <c r="I29" s="16" t="s">
        <v>34</v>
      </c>
      <c r="J29" s="16" t="s">
        <v>11</v>
      </c>
    </row>
    <row r="30" spans="1:10" ht="24" customHeight="1" x14ac:dyDescent="0.2">
      <c r="A30" s="69" t="s">
        <v>185</v>
      </c>
      <c r="B30" s="28" t="s">
        <v>48</v>
      </c>
      <c r="C30" s="69" t="s">
        <v>49</v>
      </c>
      <c r="D30" s="69" t="s">
        <v>50</v>
      </c>
      <c r="E30" s="110" t="s">
        <v>191</v>
      </c>
      <c r="F30" s="110"/>
      <c r="G30" s="27" t="s">
        <v>51</v>
      </c>
      <c r="H30" s="48">
        <v>1</v>
      </c>
      <c r="I30" s="29">
        <v>271.47000000000003</v>
      </c>
      <c r="J30" s="29">
        <v>271.47000000000003</v>
      </c>
    </row>
    <row r="31" spans="1:10" x14ac:dyDescent="0.2">
      <c r="A31" s="63"/>
      <c r="B31" s="63"/>
      <c r="C31" s="63"/>
      <c r="D31" s="63"/>
      <c r="E31" s="63" t="s">
        <v>200</v>
      </c>
      <c r="F31" s="44">
        <v>0</v>
      </c>
      <c r="G31" s="63" t="s">
        <v>201</v>
      </c>
      <c r="H31" s="44">
        <v>0</v>
      </c>
      <c r="I31" s="63" t="s">
        <v>202</v>
      </c>
      <c r="J31" s="44">
        <v>0</v>
      </c>
    </row>
    <row r="32" spans="1:10" ht="14.25" customHeight="1" x14ac:dyDescent="0.2">
      <c r="A32" s="63"/>
      <c r="B32" s="63"/>
      <c r="C32" s="63"/>
      <c r="D32" s="63"/>
      <c r="E32" s="63" t="s">
        <v>203</v>
      </c>
      <c r="F32" s="44"/>
      <c r="G32" s="63"/>
      <c r="H32" s="104" t="s">
        <v>204</v>
      </c>
      <c r="I32" s="104"/>
      <c r="J32" s="44">
        <v>346.23</v>
      </c>
    </row>
    <row r="33" spans="1:10" ht="50.1" customHeight="1" thickBot="1" x14ac:dyDescent="0.25">
      <c r="A33" s="61"/>
      <c r="B33" s="61"/>
      <c r="C33" s="61"/>
      <c r="D33" s="61"/>
      <c r="E33" s="61"/>
      <c r="F33" s="61"/>
      <c r="G33" s="61" t="s">
        <v>205</v>
      </c>
      <c r="H33" s="45" t="s">
        <v>220</v>
      </c>
      <c r="I33" s="61" t="s">
        <v>207</v>
      </c>
      <c r="J33" s="62">
        <v>346.23</v>
      </c>
    </row>
    <row r="34" spans="1:10" ht="0.95" customHeight="1" thickTop="1" x14ac:dyDescent="0.2">
      <c r="A34" s="47"/>
      <c r="B34" s="47"/>
      <c r="C34" s="47"/>
      <c r="D34" s="47"/>
      <c r="E34" s="47"/>
      <c r="F34" s="47"/>
      <c r="G34" s="47"/>
      <c r="H34" s="47"/>
      <c r="I34" s="47"/>
      <c r="J34" s="47"/>
    </row>
    <row r="35" spans="1:10" ht="24" customHeight="1" x14ac:dyDescent="0.2">
      <c r="A35" s="65" t="s">
        <v>15</v>
      </c>
      <c r="B35" s="65"/>
      <c r="C35" s="65"/>
      <c r="D35" s="65" t="s">
        <v>16</v>
      </c>
      <c r="E35" s="65"/>
      <c r="F35" s="109"/>
      <c r="G35" s="109"/>
      <c r="H35" s="20"/>
      <c r="I35" s="65"/>
      <c r="J35" s="21">
        <v>5483.99</v>
      </c>
    </row>
    <row r="36" spans="1:10" ht="18" customHeight="1" x14ac:dyDescent="0.2">
      <c r="A36" s="64" t="s">
        <v>52</v>
      </c>
      <c r="B36" s="16" t="s">
        <v>31</v>
      </c>
      <c r="C36" s="64" t="s">
        <v>32</v>
      </c>
      <c r="D36" s="64" t="s">
        <v>9</v>
      </c>
      <c r="E36" s="107" t="s">
        <v>179</v>
      </c>
      <c r="F36" s="107"/>
      <c r="G36" s="17" t="s">
        <v>33</v>
      </c>
      <c r="H36" s="16" t="s">
        <v>10</v>
      </c>
      <c r="I36" s="16" t="s">
        <v>34</v>
      </c>
      <c r="J36" s="16" t="s">
        <v>11</v>
      </c>
    </row>
    <row r="37" spans="1:10" ht="26.1" customHeight="1" x14ac:dyDescent="0.2">
      <c r="A37" s="66" t="s">
        <v>180</v>
      </c>
      <c r="B37" s="24" t="s">
        <v>53</v>
      </c>
      <c r="C37" s="66" t="s">
        <v>49</v>
      </c>
      <c r="D37" s="66" t="s">
        <v>54</v>
      </c>
      <c r="E37" s="108" t="s">
        <v>221</v>
      </c>
      <c r="F37" s="108"/>
      <c r="G37" s="23" t="s">
        <v>55</v>
      </c>
      <c r="H37" s="35">
        <v>1</v>
      </c>
      <c r="I37" s="25">
        <v>49.51</v>
      </c>
      <c r="J37" s="25">
        <v>49.51</v>
      </c>
    </row>
    <row r="38" spans="1:10" ht="24" customHeight="1" x14ac:dyDescent="0.2">
      <c r="A38" s="67" t="s">
        <v>182</v>
      </c>
      <c r="B38" s="36" t="s">
        <v>222</v>
      </c>
      <c r="C38" s="67" t="s">
        <v>40</v>
      </c>
      <c r="D38" s="67" t="s">
        <v>223</v>
      </c>
      <c r="E38" s="105" t="s">
        <v>181</v>
      </c>
      <c r="F38" s="105"/>
      <c r="G38" s="37" t="s">
        <v>42</v>
      </c>
      <c r="H38" s="38">
        <v>0.2</v>
      </c>
      <c r="I38" s="39">
        <v>19.649999999999999</v>
      </c>
      <c r="J38" s="39">
        <v>3.93</v>
      </c>
    </row>
    <row r="39" spans="1:10" ht="26.1" customHeight="1" x14ac:dyDescent="0.2">
      <c r="A39" s="67" t="s">
        <v>182</v>
      </c>
      <c r="B39" s="36" t="s">
        <v>224</v>
      </c>
      <c r="C39" s="67" t="s">
        <v>40</v>
      </c>
      <c r="D39" s="67" t="s">
        <v>225</v>
      </c>
      <c r="E39" s="105" t="s">
        <v>181</v>
      </c>
      <c r="F39" s="105"/>
      <c r="G39" s="37" t="s">
        <v>42</v>
      </c>
      <c r="H39" s="38">
        <v>0.44</v>
      </c>
      <c r="I39" s="39">
        <v>24.25</v>
      </c>
      <c r="J39" s="39">
        <v>10.67</v>
      </c>
    </row>
    <row r="40" spans="1:10" ht="24" customHeight="1" x14ac:dyDescent="0.2">
      <c r="A40" s="68" t="s">
        <v>185</v>
      </c>
      <c r="B40" s="40" t="s">
        <v>226</v>
      </c>
      <c r="C40" s="68" t="s">
        <v>40</v>
      </c>
      <c r="D40" s="68" t="s">
        <v>227</v>
      </c>
      <c r="E40" s="106" t="s">
        <v>196</v>
      </c>
      <c r="F40" s="106"/>
      <c r="G40" s="41" t="s">
        <v>228</v>
      </c>
      <c r="H40" s="42">
        <v>0.14000000000000001</v>
      </c>
      <c r="I40" s="43">
        <v>6.92</v>
      </c>
      <c r="J40" s="43">
        <v>0.96</v>
      </c>
    </row>
    <row r="41" spans="1:10" ht="24" customHeight="1" x14ac:dyDescent="0.2">
      <c r="A41" s="68" t="s">
        <v>185</v>
      </c>
      <c r="B41" s="40" t="s">
        <v>229</v>
      </c>
      <c r="C41" s="68" t="s">
        <v>40</v>
      </c>
      <c r="D41" s="68" t="s">
        <v>230</v>
      </c>
      <c r="E41" s="106" t="s">
        <v>196</v>
      </c>
      <c r="F41" s="106"/>
      <c r="G41" s="41" t="s">
        <v>228</v>
      </c>
      <c r="H41" s="42">
        <v>1.87</v>
      </c>
      <c r="I41" s="43">
        <v>3.62</v>
      </c>
      <c r="J41" s="43">
        <v>6.76</v>
      </c>
    </row>
    <row r="42" spans="1:10" ht="26.1" customHeight="1" x14ac:dyDescent="0.2">
      <c r="A42" s="68" t="s">
        <v>185</v>
      </c>
      <c r="B42" s="40" t="s">
        <v>231</v>
      </c>
      <c r="C42" s="68" t="s">
        <v>40</v>
      </c>
      <c r="D42" s="68" t="s">
        <v>232</v>
      </c>
      <c r="E42" s="106" t="s">
        <v>196</v>
      </c>
      <c r="F42" s="106"/>
      <c r="G42" s="41" t="s">
        <v>233</v>
      </c>
      <c r="H42" s="42">
        <v>0.25</v>
      </c>
      <c r="I42" s="43">
        <v>108.78</v>
      </c>
      <c r="J42" s="43">
        <v>27.19</v>
      </c>
    </row>
    <row r="43" spans="1:10" x14ac:dyDescent="0.2">
      <c r="A43" s="63"/>
      <c r="B43" s="63"/>
      <c r="C43" s="63"/>
      <c r="D43" s="63"/>
      <c r="E43" s="63" t="s">
        <v>200</v>
      </c>
      <c r="F43" s="44">
        <v>10.62</v>
      </c>
      <c r="G43" s="63" t="s">
        <v>201</v>
      </c>
      <c r="H43" s="44">
        <v>0</v>
      </c>
      <c r="I43" s="63" t="s">
        <v>202</v>
      </c>
      <c r="J43" s="44">
        <v>10.62</v>
      </c>
    </row>
    <row r="44" spans="1:10" ht="14.25" customHeight="1" x14ac:dyDescent="0.2">
      <c r="A44" s="63"/>
      <c r="B44" s="63"/>
      <c r="C44" s="63"/>
      <c r="D44" s="63"/>
      <c r="E44" s="63" t="s">
        <v>203</v>
      </c>
      <c r="F44" s="44">
        <v>13.63</v>
      </c>
      <c r="G44" s="63"/>
      <c r="H44" s="104" t="s">
        <v>204</v>
      </c>
      <c r="I44" s="104"/>
      <c r="J44" s="44">
        <v>63.14</v>
      </c>
    </row>
    <row r="45" spans="1:10" ht="50.1" customHeight="1" thickBot="1" x14ac:dyDescent="0.25">
      <c r="A45" s="61"/>
      <c r="B45" s="61"/>
      <c r="C45" s="61"/>
      <c r="D45" s="61"/>
      <c r="E45" s="61"/>
      <c r="F45" s="61"/>
      <c r="G45" s="61" t="s">
        <v>205</v>
      </c>
      <c r="H45" s="45" t="s">
        <v>234</v>
      </c>
      <c r="I45" s="61" t="s">
        <v>207</v>
      </c>
      <c r="J45" s="62">
        <v>887.74</v>
      </c>
    </row>
    <row r="46" spans="1:10" ht="0.95" customHeight="1" thickTop="1" x14ac:dyDescent="0.2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7" spans="1:10" ht="18" customHeight="1" x14ac:dyDescent="0.2">
      <c r="A47" s="64" t="s">
        <v>56</v>
      </c>
      <c r="B47" s="16" t="s">
        <v>31</v>
      </c>
      <c r="C47" s="64" t="s">
        <v>32</v>
      </c>
      <c r="D47" s="64" t="s">
        <v>9</v>
      </c>
      <c r="E47" s="107" t="s">
        <v>179</v>
      </c>
      <c r="F47" s="107"/>
      <c r="G47" s="17" t="s">
        <v>33</v>
      </c>
      <c r="H47" s="16" t="s">
        <v>10</v>
      </c>
      <c r="I47" s="16" t="s">
        <v>34</v>
      </c>
      <c r="J47" s="16" t="s">
        <v>11</v>
      </c>
    </row>
    <row r="48" spans="1:10" ht="65.099999999999994" customHeight="1" x14ac:dyDescent="0.2">
      <c r="A48" s="66" t="s">
        <v>180</v>
      </c>
      <c r="B48" s="24" t="s">
        <v>57</v>
      </c>
      <c r="C48" s="66" t="s">
        <v>40</v>
      </c>
      <c r="D48" s="66" t="s">
        <v>58</v>
      </c>
      <c r="E48" s="108" t="s">
        <v>235</v>
      </c>
      <c r="F48" s="108"/>
      <c r="G48" s="23" t="s">
        <v>59</v>
      </c>
      <c r="H48" s="35">
        <v>1</v>
      </c>
      <c r="I48" s="25">
        <v>155.13</v>
      </c>
      <c r="J48" s="25">
        <v>155.13</v>
      </c>
    </row>
    <row r="49" spans="1:10" ht="24" customHeight="1" x14ac:dyDescent="0.2">
      <c r="A49" s="67" t="s">
        <v>182</v>
      </c>
      <c r="B49" s="36" t="s">
        <v>222</v>
      </c>
      <c r="C49" s="67" t="s">
        <v>40</v>
      </c>
      <c r="D49" s="67" t="s">
        <v>223</v>
      </c>
      <c r="E49" s="105" t="s">
        <v>181</v>
      </c>
      <c r="F49" s="105"/>
      <c r="G49" s="37" t="s">
        <v>42</v>
      </c>
      <c r="H49" s="38">
        <v>0.23699999999999999</v>
      </c>
      <c r="I49" s="39">
        <v>19.649999999999999</v>
      </c>
      <c r="J49" s="39">
        <v>4.6500000000000004</v>
      </c>
    </row>
    <row r="50" spans="1:10" ht="26.1" customHeight="1" x14ac:dyDescent="0.2">
      <c r="A50" s="67" t="s">
        <v>182</v>
      </c>
      <c r="B50" s="36" t="s">
        <v>236</v>
      </c>
      <c r="C50" s="67" t="s">
        <v>40</v>
      </c>
      <c r="D50" s="67" t="s">
        <v>237</v>
      </c>
      <c r="E50" s="105" t="s">
        <v>181</v>
      </c>
      <c r="F50" s="105"/>
      <c r="G50" s="37" t="s">
        <v>42</v>
      </c>
      <c r="H50" s="38">
        <v>0.72599999999999998</v>
      </c>
      <c r="I50" s="39">
        <v>21.42</v>
      </c>
      <c r="J50" s="39">
        <v>15.55</v>
      </c>
    </row>
    <row r="51" spans="1:10" ht="26.1" customHeight="1" x14ac:dyDescent="0.2">
      <c r="A51" s="68" t="s">
        <v>185</v>
      </c>
      <c r="B51" s="40" t="s">
        <v>238</v>
      </c>
      <c r="C51" s="68" t="s">
        <v>40</v>
      </c>
      <c r="D51" s="68" t="s">
        <v>239</v>
      </c>
      <c r="E51" s="106" t="s">
        <v>196</v>
      </c>
      <c r="F51" s="106"/>
      <c r="G51" s="41" t="s">
        <v>59</v>
      </c>
      <c r="H51" s="42">
        <v>2.1059999999999999</v>
      </c>
      <c r="I51" s="43">
        <v>26.91</v>
      </c>
      <c r="J51" s="43">
        <v>56.67</v>
      </c>
    </row>
    <row r="52" spans="1:10" ht="39" customHeight="1" x14ac:dyDescent="0.2">
      <c r="A52" s="68" t="s">
        <v>185</v>
      </c>
      <c r="B52" s="40" t="s">
        <v>240</v>
      </c>
      <c r="C52" s="68" t="s">
        <v>40</v>
      </c>
      <c r="D52" s="68" t="s">
        <v>241</v>
      </c>
      <c r="E52" s="106" t="s">
        <v>196</v>
      </c>
      <c r="F52" s="106"/>
      <c r="G52" s="41" t="s">
        <v>93</v>
      </c>
      <c r="H52" s="42">
        <v>0.54410000000000003</v>
      </c>
      <c r="I52" s="43">
        <v>0.24</v>
      </c>
      <c r="J52" s="43">
        <v>0.13</v>
      </c>
    </row>
    <row r="53" spans="1:10" ht="39" customHeight="1" x14ac:dyDescent="0.2">
      <c r="A53" s="68" t="s">
        <v>185</v>
      </c>
      <c r="B53" s="40" t="s">
        <v>242</v>
      </c>
      <c r="C53" s="68" t="s">
        <v>40</v>
      </c>
      <c r="D53" s="68" t="s">
        <v>243</v>
      </c>
      <c r="E53" s="106" t="s">
        <v>196</v>
      </c>
      <c r="F53" s="106"/>
      <c r="G53" s="41" t="s">
        <v>55</v>
      </c>
      <c r="H53" s="42">
        <v>5.8277999999999999</v>
      </c>
      <c r="I53" s="43">
        <v>8.23</v>
      </c>
      <c r="J53" s="43">
        <v>47.96</v>
      </c>
    </row>
    <row r="54" spans="1:10" ht="39" customHeight="1" x14ac:dyDescent="0.2">
      <c r="A54" s="68" t="s">
        <v>185</v>
      </c>
      <c r="B54" s="40" t="s">
        <v>244</v>
      </c>
      <c r="C54" s="68" t="s">
        <v>40</v>
      </c>
      <c r="D54" s="68" t="s">
        <v>245</v>
      </c>
      <c r="E54" s="106" t="s">
        <v>196</v>
      </c>
      <c r="F54" s="106"/>
      <c r="G54" s="41" t="s">
        <v>55</v>
      </c>
      <c r="H54" s="42">
        <v>1.8233999999999999</v>
      </c>
      <c r="I54" s="43">
        <v>7.25</v>
      </c>
      <c r="J54" s="43">
        <v>13.21</v>
      </c>
    </row>
    <row r="55" spans="1:10" ht="26.1" customHeight="1" x14ac:dyDescent="0.2">
      <c r="A55" s="68" t="s">
        <v>185</v>
      </c>
      <c r="B55" s="40" t="s">
        <v>246</v>
      </c>
      <c r="C55" s="68" t="s">
        <v>40</v>
      </c>
      <c r="D55" s="68" t="s">
        <v>247</v>
      </c>
      <c r="E55" s="106" t="s">
        <v>196</v>
      </c>
      <c r="F55" s="106"/>
      <c r="G55" s="41" t="s">
        <v>55</v>
      </c>
      <c r="H55" s="42">
        <v>2.5026999999999999</v>
      </c>
      <c r="I55" s="43">
        <v>0.42</v>
      </c>
      <c r="J55" s="43">
        <v>1.05</v>
      </c>
    </row>
    <row r="56" spans="1:10" ht="26.1" customHeight="1" x14ac:dyDescent="0.2">
      <c r="A56" s="68" t="s">
        <v>185</v>
      </c>
      <c r="B56" s="40" t="s">
        <v>248</v>
      </c>
      <c r="C56" s="68" t="s">
        <v>40</v>
      </c>
      <c r="D56" s="68" t="s">
        <v>249</v>
      </c>
      <c r="E56" s="106" t="s">
        <v>196</v>
      </c>
      <c r="F56" s="106"/>
      <c r="G56" s="41" t="s">
        <v>250</v>
      </c>
      <c r="H56" s="42">
        <v>5.9200000000000003E-2</v>
      </c>
      <c r="I56" s="43">
        <v>48.76</v>
      </c>
      <c r="J56" s="43">
        <v>2.88</v>
      </c>
    </row>
    <row r="57" spans="1:10" ht="26.1" customHeight="1" x14ac:dyDescent="0.2">
      <c r="A57" s="68" t="s">
        <v>185</v>
      </c>
      <c r="B57" s="40" t="s">
        <v>251</v>
      </c>
      <c r="C57" s="68" t="s">
        <v>40</v>
      </c>
      <c r="D57" s="68" t="s">
        <v>252</v>
      </c>
      <c r="E57" s="106" t="s">
        <v>196</v>
      </c>
      <c r="F57" s="106"/>
      <c r="G57" s="41" t="s">
        <v>55</v>
      </c>
      <c r="H57" s="42">
        <v>1.5851</v>
      </c>
      <c r="I57" s="43">
        <v>3.73</v>
      </c>
      <c r="J57" s="43">
        <v>5.91</v>
      </c>
    </row>
    <row r="58" spans="1:10" ht="39" customHeight="1" x14ac:dyDescent="0.2">
      <c r="A58" s="68" t="s">
        <v>185</v>
      </c>
      <c r="B58" s="40" t="s">
        <v>253</v>
      </c>
      <c r="C58" s="68" t="s">
        <v>40</v>
      </c>
      <c r="D58" s="68" t="s">
        <v>254</v>
      </c>
      <c r="E58" s="106" t="s">
        <v>188</v>
      </c>
      <c r="F58" s="106"/>
      <c r="G58" s="41" t="s">
        <v>228</v>
      </c>
      <c r="H58" s="42">
        <v>1.0978000000000001</v>
      </c>
      <c r="I58" s="43">
        <v>4.66</v>
      </c>
      <c r="J58" s="43">
        <v>5.1100000000000003</v>
      </c>
    </row>
    <row r="59" spans="1:10" ht="26.1" customHeight="1" x14ac:dyDescent="0.2">
      <c r="A59" s="68" t="s">
        <v>185</v>
      </c>
      <c r="B59" s="40" t="s">
        <v>255</v>
      </c>
      <c r="C59" s="68" t="s">
        <v>40</v>
      </c>
      <c r="D59" s="68" t="s">
        <v>256</v>
      </c>
      <c r="E59" s="106" t="s">
        <v>196</v>
      </c>
      <c r="F59" s="106"/>
      <c r="G59" s="41" t="s">
        <v>93</v>
      </c>
      <c r="H59" s="42">
        <v>20.186800000000002</v>
      </c>
      <c r="I59" s="43">
        <v>0.1</v>
      </c>
      <c r="J59" s="43">
        <v>2.0099999999999998</v>
      </c>
    </row>
    <row r="60" spans="1:10" x14ac:dyDescent="0.2">
      <c r="A60" s="63"/>
      <c r="B60" s="63"/>
      <c r="C60" s="63"/>
      <c r="D60" s="63"/>
      <c r="E60" s="63" t="s">
        <v>200</v>
      </c>
      <c r="F60" s="44">
        <v>15.09</v>
      </c>
      <c r="G60" s="63" t="s">
        <v>201</v>
      </c>
      <c r="H60" s="44">
        <v>0</v>
      </c>
      <c r="I60" s="63" t="s">
        <v>202</v>
      </c>
      <c r="J60" s="44">
        <v>15.09</v>
      </c>
    </row>
    <row r="61" spans="1:10" ht="14.25" customHeight="1" x14ac:dyDescent="0.2">
      <c r="A61" s="63"/>
      <c r="B61" s="63"/>
      <c r="C61" s="63"/>
      <c r="D61" s="63"/>
      <c r="E61" s="63" t="s">
        <v>203</v>
      </c>
      <c r="F61" s="44">
        <v>42.72</v>
      </c>
      <c r="G61" s="63"/>
      <c r="H61" s="104" t="s">
        <v>204</v>
      </c>
      <c r="I61" s="104"/>
      <c r="J61" s="44">
        <v>197.85</v>
      </c>
    </row>
    <row r="62" spans="1:10" ht="50.1" customHeight="1" thickBot="1" x14ac:dyDescent="0.25">
      <c r="A62" s="61"/>
      <c r="B62" s="61"/>
      <c r="C62" s="61"/>
      <c r="D62" s="61"/>
      <c r="E62" s="61"/>
      <c r="F62" s="61"/>
      <c r="G62" s="61" t="s">
        <v>205</v>
      </c>
      <c r="H62" s="45" t="s">
        <v>257</v>
      </c>
      <c r="I62" s="61" t="s">
        <v>207</v>
      </c>
      <c r="J62" s="62">
        <v>4172.6499999999996</v>
      </c>
    </row>
    <row r="63" spans="1:10" ht="0.95" customHeight="1" thickTop="1" x14ac:dyDescent="0.2">
      <c r="A63" s="47"/>
      <c r="B63" s="47"/>
      <c r="C63" s="47"/>
      <c r="D63" s="47"/>
      <c r="E63" s="47"/>
      <c r="F63" s="47"/>
      <c r="G63" s="47"/>
      <c r="H63" s="47"/>
      <c r="I63" s="47"/>
      <c r="J63" s="47"/>
    </row>
    <row r="64" spans="1:10" ht="18" customHeight="1" x14ac:dyDescent="0.2">
      <c r="A64" s="64" t="s">
        <v>60</v>
      </c>
      <c r="B64" s="16" t="s">
        <v>31</v>
      </c>
      <c r="C64" s="64" t="s">
        <v>32</v>
      </c>
      <c r="D64" s="64" t="s">
        <v>9</v>
      </c>
      <c r="E64" s="107" t="s">
        <v>179</v>
      </c>
      <c r="F64" s="107"/>
      <c r="G64" s="17" t="s">
        <v>33</v>
      </c>
      <c r="H64" s="16" t="s">
        <v>10</v>
      </c>
      <c r="I64" s="16" t="s">
        <v>34</v>
      </c>
      <c r="J64" s="16" t="s">
        <v>11</v>
      </c>
    </row>
    <row r="65" spans="1:10" ht="26.1" customHeight="1" x14ac:dyDescent="0.2">
      <c r="A65" s="66" t="s">
        <v>180</v>
      </c>
      <c r="B65" s="24" t="s">
        <v>61</v>
      </c>
      <c r="C65" s="66" t="s">
        <v>40</v>
      </c>
      <c r="D65" s="66" t="s">
        <v>62</v>
      </c>
      <c r="E65" s="108" t="s">
        <v>258</v>
      </c>
      <c r="F65" s="108"/>
      <c r="G65" s="23" t="s">
        <v>59</v>
      </c>
      <c r="H65" s="35">
        <v>1</v>
      </c>
      <c r="I65" s="25">
        <v>1.76</v>
      </c>
      <c r="J65" s="25">
        <v>1.76</v>
      </c>
    </row>
    <row r="66" spans="1:10" ht="24" customHeight="1" x14ac:dyDescent="0.2">
      <c r="A66" s="67" t="s">
        <v>182</v>
      </c>
      <c r="B66" s="36" t="s">
        <v>222</v>
      </c>
      <c r="C66" s="67" t="s">
        <v>40</v>
      </c>
      <c r="D66" s="67" t="s">
        <v>223</v>
      </c>
      <c r="E66" s="105" t="s">
        <v>181</v>
      </c>
      <c r="F66" s="105"/>
      <c r="G66" s="37" t="s">
        <v>42</v>
      </c>
      <c r="H66" s="38">
        <v>6.4699999999999994E-2</v>
      </c>
      <c r="I66" s="39">
        <v>19.649999999999999</v>
      </c>
      <c r="J66" s="39">
        <v>1.27</v>
      </c>
    </row>
    <row r="67" spans="1:10" ht="26.1" customHeight="1" x14ac:dyDescent="0.2">
      <c r="A67" s="67" t="s">
        <v>182</v>
      </c>
      <c r="B67" s="36" t="s">
        <v>236</v>
      </c>
      <c r="C67" s="67" t="s">
        <v>40</v>
      </c>
      <c r="D67" s="67" t="s">
        <v>237</v>
      </c>
      <c r="E67" s="105" t="s">
        <v>181</v>
      </c>
      <c r="F67" s="105"/>
      <c r="G67" s="37" t="s">
        <v>42</v>
      </c>
      <c r="H67" s="38">
        <v>2.29E-2</v>
      </c>
      <c r="I67" s="39">
        <v>21.42</v>
      </c>
      <c r="J67" s="39">
        <v>0.49</v>
      </c>
    </row>
    <row r="68" spans="1:10" x14ac:dyDescent="0.2">
      <c r="A68" s="63"/>
      <c r="B68" s="63"/>
      <c r="C68" s="63"/>
      <c r="D68" s="63"/>
      <c r="E68" s="63" t="s">
        <v>200</v>
      </c>
      <c r="F68" s="44">
        <v>1.24</v>
      </c>
      <c r="G68" s="63" t="s">
        <v>201</v>
      </c>
      <c r="H68" s="44">
        <v>0</v>
      </c>
      <c r="I68" s="63" t="s">
        <v>202</v>
      </c>
      <c r="J68" s="44">
        <v>1.24</v>
      </c>
    </row>
    <row r="69" spans="1:10" ht="14.25" customHeight="1" x14ac:dyDescent="0.2">
      <c r="A69" s="63"/>
      <c r="B69" s="63"/>
      <c r="C69" s="63"/>
      <c r="D69" s="63"/>
      <c r="E69" s="63" t="s">
        <v>203</v>
      </c>
      <c r="F69" s="44">
        <v>0.48</v>
      </c>
      <c r="G69" s="63"/>
      <c r="H69" s="104" t="s">
        <v>204</v>
      </c>
      <c r="I69" s="104"/>
      <c r="J69" s="44">
        <v>2.2400000000000002</v>
      </c>
    </row>
    <row r="70" spans="1:10" ht="50.1" customHeight="1" thickBot="1" x14ac:dyDescent="0.25">
      <c r="A70" s="61"/>
      <c r="B70" s="61"/>
      <c r="C70" s="61"/>
      <c r="D70" s="61"/>
      <c r="E70" s="61"/>
      <c r="F70" s="61"/>
      <c r="G70" s="61" t="s">
        <v>205</v>
      </c>
      <c r="H70" s="45" t="s">
        <v>259</v>
      </c>
      <c r="I70" s="61" t="s">
        <v>207</v>
      </c>
      <c r="J70" s="62">
        <v>8.9600000000000009</v>
      </c>
    </row>
    <row r="71" spans="1:10" ht="0.95" customHeight="1" thickTop="1" x14ac:dyDescent="0.2">
      <c r="A71" s="47"/>
      <c r="B71" s="47"/>
      <c r="C71" s="47"/>
      <c r="D71" s="47"/>
      <c r="E71" s="47"/>
      <c r="F71" s="47"/>
      <c r="G71" s="47"/>
      <c r="H71" s="47"/>
      <c r="I71" s="47"/>
      <c r="J71" s="47"/>
    </row>
    <row r="72" spans="1:10" ht="18" customHeight="1" x14ac:dyDescent="0.2">
      <c r="A72" s="64" t="s">
        <v>63</v>
      </c>
      <c r="B72" s="16" t="s">
        <v>31</v>
      </c>
      <c r="C72" s="64" t="s">
        <v>32</v>
      </c>
      <c r="D72" s="64" t="s">
        <v>9</v>
      </c>
      <c r="E72" s="107" t="s">
        <v>179</v>
      </c>
      <c r="F72" s="107"/>
      <c r="G72" s="17" t="s">
        <v>33</v>
      </c>
      <c r="H72" s="16" t="s">
        <v>10</v>
      </c>
      <c r="I72" s="16" t="s">
        <v>34</v>
      </c>
      <c r="J72" s="16" t="s">
        <v>11</v>
      </c>
    </row>
    <row r="73" spans="1:10" ht="39" customHeight="1" x14ac:dyDescent="0.2">
      <c r="A73" s="66" t="s">
        <v>180</v>
      </c>
      <c r="B73" s="24" t="s">
        <v>64</v>
      </c>
      <c r="C73" s="66" t="s">
        <v>40</v>
      </c>
      <c r="D73" s="66" t="s">
        <v>65</v>
      </c>
      <c r="E73" s="108" t="s">
        <v>260</v>
      </c>
      <c r="F73" s="108"/>
      <c r="G73" s="23" t="s">
        <v>59</v>
      </c>
      <c r="H73" s="35">
        <v>1</v>
      </c>
      <c r="I73" s="25">
        <v>81.28</v>
      </c>
      <c r="J73" s="25">
        <v>81.28</v>
      </c>
    </row>
    <row r="74" spans="1:10" ht="24" customHeight="1" x14ac:dyDescent="0.2">
      <c r="A74" s="67" t="s">
        <v>182</v>
      </c>
      <c r="B74" s="36" t="s">
        <v>222</v>
      </c>
      <c r="C74" s="67" t="s">
        <v>40</v>
      </c>
      <c r="D74" s="67" t="s">
        <v>223</v>
      </c>
      <c r="E74" s="105" t="s">
        <v>181</v>
      </c>
      <c r="F74" s="105"/>
      <c r="G74" s="37" t="s">
        <v>42</v>
      </c>
      <c r="H74" s="38">
        <v>0.47860000000000003</v>
      </c>
      <c r="I74" s="39">
        <v>19.649999999999999</v>
      </c>
      <c r="J74" s="39">
        <v>9.4</v>
      </c>
    </row>
    <row r="75" spans="1:10" ht="26.1" customHeight="1" x14ac:dyDescent="0.2">
      <c r="A75" s="67" t="s">
        <v>182</v>
      </c>
      <c r="B75" s="36" t="s">
        <v>236</v>
      </c>
      <c r="C75" s="67" t="s">
        <v>40</v>
      </c>
      <c r="D75" s="67" t="s">
        <v>237</v>
      </c>
      <c r="E75" s="105" t="s">
        <v>181</v>
      </c>
      <c r="F75" s="105"/>
      <c r="G75" s="37" t="s">
        <v>42</v>
      </c>
      <c r="H75" s="38">
        <v>0.47860000000000003</v>
      </c>
      <c r="I75" s="39">
        <v>21.42</v>
      </c>
      <c r="J75" s="39">
        <v>10.25</v>
      </c>
    </row>
    <row r="76" spans="1:10" ht="26.1" customHeight="1" x14ac:dyDescent="0.2">
      <c r="A76" s="68" t="s">
        <v>185</v>
      </c>
      <c r="B76" s="40" t="s">
        <v>251</v>
      </c>
      <c r="C76" s="68" t="s">
        <v>40</v>
      </c>
      <c r="D76" s="68" t="s">
        <v>252</v>
      </c>
      <c r="E76" s="106" t="s">
        <v>196</v>
      </c>
      <c r="F76" s="106"/>
      <c r="G76" s="41" t="s">
        <v>55</v>
      </c>
      <c r="H76" s="42">
        <v>1.4276</v>
      </c>
      <c r="I76" s="43">
        <v>3.73</v>
      </c>
      <c r="J76" s="43">
        <v>5.32</v>
      </c>
    </row>
    <row r="77" spans="1:10" ht="26.1" customHeight="1" x14ac:dyDescent="0.2">
      <c r="A77" s="68" t="s">
        <v>185</v>
      </c>
      <c r="B77" s="40" t="s">
        <v>238</v>
      </c>
      <c r="C77" s="68" t="s">
        <v>40</v>
      </c>
      <c r="D77" s="68" t="s">
        <v>239</v>
      </c>
      <c r="E77" s="106" t="s">
        <v>196</v>
      </c>
      <c r="F77" s="106"/>
      <c r="G77" s="41" t="s">
        <v>59</v>
      </c>
      <c r="H77" s="42">
        <v>1.0838000000000001</v>
      </c>
      <c r="I77" s="43">
        <v>26.91</v>
      </c>
      <c r="J77" s="43">
        <v>29.16</v>
      </c>
    </row>
    <row r="78" spans="1:10" ht="39" customHeight="1" x14ac:dyDescent="0.2">
      <c r="A78" s="68" t="s">
        <v>185</v>
      </c>
      <c r="B78" s="40" t="s">
        <v>240</v>
      </c>
      <c r="C78" s="68" t="s">
        <v>40</v>
      </c>
      <c r="D78" s="68" t="s">
        <v>241</v>
      </c>
      <c r="E78" s="106" t="s">
        <v>196</v>
      </c>
      <c r="F78" s="106"/>
      <c r="G78" s="41" t="s">
        <v>93</v>
      </c>
      <c r="H78" s="42">
        <v>1.2266999999999999</v>
      </c>
      <c r="I78" s="43">
        <v>0.24</v>
      </c>
      <c r="J78" s="43">
        <v>0.28999999999999998</v>
      </c>
    </row>
    <row r="79" spans="1:10" ht="39" customHeight="1" x14ac:dyDescent="0.2">
      <c r="A79" s="68" t="s">
        <v>185</v>
      </c>
      <c r="B79" s="40" t="s">
        <v>261</v>
      </c>
      <c r="C79" s="68" t="s">
        <v>40</v>
      </c>
      <c r="D79" s="68" t="s">
        <v>262</v>
      </c>
      <c r="E79" s="106" t="s">
        <v>196</v>
      </c>
      <c r="F79" s="106"/>
      <c r="G79" s="41" t="s">
        <v>55</v>
      </c>
      <c r="H79" s="42">
        <v>3.5470000000000002</v>
      </c>
      <c r="I79" s="43">
        <v>5.34</v>
      </c>
      <c r="J79" s="43">
        <v>18.940000000000001</v>
      </c>
    </row>
    <row r="80" spans="1:10" ht="39" customHeight="1" x14ac:dyDescent="0.2">
      <c r="A80" s="68" t="s">
        <v>185</v>
      </c>
      <c r="B80" s="40" t="s">
        <v>263</v>
      </c>
      <c r="C80" s="68" t="s">
        <v>40</v>
      </c>
      <c r="D80" s="68" t="s">
        <v>264</v>
      </c>
      <c r="E80" s="106" t="s">
        <v>188</v>
      </c>
      <c r="F80" s="106"/>
      <c r="G80" s="41" t="s">
        <v>93</v>
      </c>
      <c r="H80" s="42">
        <v>1.2266999999999999</v>
      </c>
      <c r="I80" s="43">
        <v>2.0099999999999998</v>
      </c>
      <c r="J80" s="43">
        <v>2.46</v>
      </c>
    </row>
    <row r="81" spans="1:10" ht="26.1" customHeight="1" x14ac:dyDescent="0.2">
      <c r="A81" s="68" t="s">
        <v>185</v>
      </c>
      <c r="B81" s="40" t="s">
        <v>265</v>
      </c>
      <c r="C81" s="68" t="s">
        <v>40</v>
      </c>
      <c r="D81" s="68" t="s">
        <v>266</v>
      </c>
      <c r="E81" s="106" t="s">
        <v>196</v>
      </c>
      <c r="F81" s="106"/>
      <c r="G81" s="41" t="s">
        <v>250</v>
      </c>
      <c r="H81" s="42">
        <v>1.23E-2</v>
      </c>
      <c r="I81" s="43">
        <v>27.14</v>
      </c>
      <c r="J81" s="43">
        <v>0.33</v>
      </c>
    </row>
    <row r="82" spans="1:10" ht="39" customHeight="1" x14ac:dyDescent="0.2">
      <c r="A82" s="68" t="s">
        <v>185</v>
      </c>
      <c r="B82" s="40" t="s">
        <v>253</v>
      </c>
      <c r="C82" s="68" t="s">
        <v>40</v>
      </c>
      <c r="D82" s="68" t="s">
        <v>254</v>
      </c>
      <c r="E82" s="106" t="s">
        <v>188</v>
      </c>
      <c r="F82" s="106"/>
      <c r="G82" s="41" t="s">
        <v>228</v>
      </c>
      <c r="H82" s="42">
        <v>0.69259999999999999</v>
      </c>
      <c r="I82" s="43">
        <v>4.66</v>
      </c>
      <c r="J82" s="43">
        <v>3.22</v>
      </c>
    </row>
    <row r="83" spans="1:10" ht="39" customHeight="1" x14ac:dyDescent="0.2">
      <c r="A83" s="68" t="s">
        <v>185</v>
      </c>
      <c r="B83" s="40" t="s">
        <v>267</v>
      </c>
      <c r="C83" s="68" t="s">
        <v>40</v>
      </c>
      <c r="D83" s="68" t="s">
        <v>268</v>
      </c>
      <c r="E83" s="106" t="s">
        <v>196</v>
      </c>
      <c r="F83" s="106"/>
      <c r="G83" s="41" t="s">
        <v>228</v>
      </c>
      <c r="H83" s="42">
        <v>3.6999999999999998E-2</v>
      </c>
      <c r="I83" s="43">
        <v>25.84</v>
      </c>
      <c r="J83" s="43">
        <v>0.95</v>
      </c>
    </row>
    <row r="84" spans="1:10" ht="26.1" customHeight="1" x14ac:dyDescent="0.2">
      <c r="A84" s="68" t="s">
        <v>185</v>
      </c>
      <c r="B84" s="40" t="s">
        <v>255</v>
      </c>
      <c r="C84" s="68" t="s">
        <v>40</v>
      </c>
      <c r="D84" s="68" t="s">
        <v>256</v>
      </c>
      <c r="E84" s="106" t="s">
        <v>196</v>
      </c>
      <c r="F84" s="106"/>
      <c r="G84" s="41" t="s">
        <v>93</v>
      </c>
      <c r="H84" s="42">
        <v>9.6469000000000005</v>
      </c>
      <c r="I84" s="43">
        <v>0.1</v>
      </c>
      <c r="J84" s="43">
        <v>0.96</v>
      </c>
    </row>
    <row r="85" spans="1:10" x14ac:dyDescent="0.2">
      <c r="A85" s="63"/>
      <c r="B85" s="63"/>
      <c r="C85" s="63"/>
      <c r="D85" s="63"/>
      <c r="E85" s="63" t="s">
        <v>200</v>
      </c>
      <c r="F85" s="44">
        <v>14.29</v>
      </c>
      <c r="G85" s="63" t="s">
        <v>201</v>
      </c>
      <c r="H85" s="44">
        <v>0</v>
      </c>
      <c r="I85" s="63" t="s">
        <v>202</v>
      </c>
      <c r="J85" s="44">
        <v>14.29</v>
      </c>
    </row>
    <row r="86" spans="1:10" ht="14.25" customHeight="1" x14ac:dyDescent="0.2">
      <c r="A86" s="63"/>
      <c r="B86" s="63"/>
      <c r="C86" s="63"/>
      <c r="D86" s="63"/>
      <c r="E86" s="63" t="s">
        <v>203</v>
      </c>
      <c r="F86" s="44">
        <v>22.38</v>
      </c>
      <c r="G86" s="63"/>
      <c r="H86" s="104" t="s">
        <v>204</v>
      </c>
      <c r="I86" s="104"/>
      <c r="J86" s="44">
        <v>103.66</v>
      </c>
    </row>
    <row r="87" spans="1:10" ht="50.1" customHeight="1" thickBot="1" x14ac:dyDescent="0.25">
      <c r="A87" s="61"/>
      <c r="B87" s="61"/>
      <c r="C87" s="61"/>
      <c r="D87" s="61"/>
      <c r="E87" s="61"/>
      <c r="F87" s="61"/>
      <c r="G87" s="61" t="s">
        <v>205</v>
      </c>
      <c r="H87" s="45" t="s">
        <v>259</v>
      </c>
      <c r="I87" s="61" t="s">
        <v>207</v>
      </c>
      <c r="J87" s="62">
        <v>414.64</v>
      </c>
    </row>
    <row r="88" spans="1:10" ht="0.95" customHeight="1" thickTop="1" x14ac:dyDescent="0.2">
      <c r="A88" s="47"/>
      <c r="B88" s="47"/>
      <c r="C88" s="47"/>
      <c r="D88" s="47"/>
      <c r="E88" s="47"/>
      <c r="F88" s="47"/>
      <c r="G88" s="47"/>
      <c r="H88" s="47"/>
      <c r="I88" s="47"/>
      <c r="J88" s="47"/>
    </row>
    <row r="89" spans="1:10" ht="24" customHeight="1" x14ac:dyDescent="0.2">
      <c r="A89" s="65" t="s">
        <v>17</v>
      </c>
      <c r="B89" s="65"/>
      <c r="C89" s="65"/>
      <c r="D89" s="65" t="s">
        <v>18</v>
      </c>
      <c r="E89" s="65"/>
      <c r="F89" s="109"/>
      <c r="G89" s="109"/>
      <c r="H89" s="20"/>
      <c r="I89" s="65"/>
      <c r="J89" s="21">
        <v>5448.16</v>
      </c>
    </row>
    <row r="90" spans="1:10" ht="18" customHeight="1" x14ac:dyDescent="0.2">
      <c r="A90" s="64" t="s">
        <v>66</v>
      </c>
      <c r="B90" s="16" t="s">
        <v>31</v>
      </c>
      <c r="C90" s="64" t="s">
        <v>32</v>
      </c>
      <c r="D90" s="64" t="s">
        <v>9</v>
      </c>
      <c r="E90" s="107" t="s">
        <v>179</v>
      </c>
      <c r="F90" s="107"/>
      <c r="G90" s="17" t="s">
        <v>33</v>
      </c>
      <c r="H90" s="16" t="s">
        <v>10</v>
      </c>
      <c r="I90" s="16" t="s">
        <v>34</v>
      </c>
      <c r="J90" s="16" t="s">
        <v>11</v>
      </c>
    </row>
    <row r="91" spans="1:10" ht="26.1" customHeight="1" x14ac:dyDescent="0.2">
      <c r="A91" s="66" t="s">
        <v>180</v>
      </c>
      <c r="B91" s="24" t="s">
        <v>67</v>
      </c>
      <c r="C91" s="66" t="s">
        <v>40</v>
      </c>
      <c r="D91" s="66" t="s">
        <v>68</v>
      </c>
      <c r="E91" s="108" t="s">
        <v>269</v>
      </c>
      <c r="F91" s="108"/>
      <c r="G91" s="23" t="s">
        <v>59</v>
      </c>
      <c r="H91" s="35">
        <v>1</v>
      </c>
      <c r="I91" s="25">
        <v>16.670000000000002</v>
      </c>
      <c r="J91" s="25">
        <v>16.670000000000002</v>
      </c>
    </row>
    <row r="92" spans="1:10" ht="24" customHeight="1" x14ac:dyDescent="0.2">
      <c r="A92" s="67" t="s">
        <v>182</v>
      </c>
      <c r="B92" s="36" t="s">
        <v>222</v>
      </c>
      <c r="C92" s="67" t="s">
        <v>40</v>
      </c>
      <c r="D92" s="67" t="s">
        <v>223</v>
      </c>
      <c r="E92" s="105" t="s">
        <v>181</v>
      </c>
      <c r="F92" s="105"/>
      <c r="G92" s="37" t="s">
        <v>42</v>
      </c>
      <c r="H92" s="38">
        <v>0.1203</v>
      </c>
      <c r="I92" s="39">
        <v>19.649999999999999</v>
      </c>
      <c r="J92" s="39">
        <v>2.36</v>
      </c>
    </row>
    <row r="93" spans="1:10" ht="24" customHeight="1" x14ac:dyDescent="0.2">
      <c r="A93" s="67" t="s">
        <v>182</v>
      </c>
      <c r="B93" s="36" t="s">
        <v>270</v>
      </c>
      <c r="C93" s="67" t="s">
        <v>40</v>
      </c>
      <c r="D93" s="67" t="s">
        <v>271</v>
      </c>
      <c r="E93" s="105" t="s">
        <v>181</v>
      </c>
      <c r="F93" s="105"/>
      <c r="G93" s="37" t="s">
        <v>42</v>
      </c>
      <c r="H93" s="38">
        <v>0.36099999999999999</v>
      </c>
      <c r="I93" s="39">
        <v>26.06</v>
      </c>
      <c r="J93" s="39">
        <v>9.4</v>
      </c>
    </row>
    <row r="94" spans="1:10" ht="26.1" customHeight="1" x14ac:dyDescent="0.2">
      <c r="A94" s="68" t="s">
        <v>185</v>
      </c>
      <c r="B94" s="40" t="s">
        <v>272</v>
      </c>
      <c r="C94" s="68" t="s">
        <v>40</v>
      </c>
      <c r="D94" s="68" t="s">
        <v>273</v>
      </c>
      <c r="E94" s="106" t="s">
        <v>196</v>
      </c>
      <c r="F94" s="106"/>
      <c r="G94" s="41" t="s">
        <v>228</v>
      </c>
      <c r="H94" s="42">
        <v>1.3389</v>
      </c>
      <c r="I94" s="43">
        <v>3.6</v>
      </c>
      <c r="J94" s="43">
        <v>4.82</v>
      </c>
    </row>
    <row r="95" spans="1:10" ht="26.1" customHeight="1" x14ac:dyDescent="0.2">
      <c r="A95" s="68" t="s">
        <v>185</v>
      </c>
      <c r="B95" s="40" t="s">
        <v>274</v>
      </c>
      <c r="C95" s="68" t="s">
        <v>40</v>
      </c>
      <c r="D95" s="68" t="s">
        <v>275</v>
      </c>
      <c r="E95" s="106" t="s">
        <v>196</v>
      </c>
      <c r="F95" s="106"/>
      <c r="G95" s="41" t="s">
        <v>93</v>
      </c>
      <c r="H95" s="42">
        <v>8.0199999999999994E-2</v>
      </c>
      <c r="I95" s="43">
        <v>1.21</v>
      </c>
      <c r="J95" s="43">
        <v>0.09</v>
      </c>
    </row>
    <row r="96" spans="1:10" x14ac:dyDescent="0.2">
      <c r="A96" s="63"/>
      <c r="B96" s="63"/>
      <c r="C96" s="63"/>
      <c r="D96" s="63"/>
      <c r="E96" s="63" t="s">
        <v>200</v>
      </c>
      <c r="F96" s="44">
        <v>8.1199999999999992</v>
      </c>
      <c r="G96" s="63" t="s">
        <v>201</v>
      </c>
      <c r="H96" s="44">
        <v>0</v>
      </c>
      <c r="I96" s="63" t="s">
        <v>202</v>
      </c>
      <c r="J96" s="44">
        <v>8.1199999999999992</v>
      </c>
    </row>
    <row r="97" spans="1:10" ht="14.25" customHeight="1" x14ac:dyDescent="0.2">
      <c r="A97" s="63"/>
      <c r="B97" s="63"/>
      <c r="C97" s="63"/>
      <c r="D97" s="63"/>
      <c r="E97" s="63" t="s">
        <v>203</v>
      </c>
      <c r="F97" s="44">
        <v>4.59</v>
      </c>
      <c r="G97" s="63"/>
      <c r="H97" s="104" t="s">
        <v>204</v>
      </c>
      <c r="I97" s="104"/>
      <c r="J97" s="44">
        <v>21.26</v>
      </c>
    </row>
    <row r="98" spans="1:10" ht="50.1" customHeight="1" thickBot="1" x14ac:dyDescent="0.25">
      <c r="A98" s="61"/>
      <c r="B98" s="61"/>
      <c r="C98" s="61"/>
      <c r="D98" s="61"/>
      <c r="E98" s="61"/>
      <c r="F98" s="61"/>
      <c r="G98" s="61" t="s">
        <v>205</v>
      </c>
      <c r="H98" s="45" t="s">
        <v>276</v>
      </c>
      <c r="I98" s="61" t="s">
        <v>207</v>
      </c>
      <c r="J98" s="62">
        <v>791.5</v>
      </c>
    </row>
    <row r="99" spans="1:10" ht="0.95" customHeight="1" thickTop="1" x14ac:dyDescent="0.2">
      <c r="A99" s="47"/>
      <c r="B99" s="47"/>
      <c r="C99" s="47"/>
      <c r="D99" s="47"/>
      <c r="E99" s="47"/>
      <c r="F99" s="47"/>
      <c r="G99" s="47"/>
      <c r="H99" s="47"/>
      <c r="I99" s="47"/>
      <c r="J99" s="47"/>
    </row>
    <row r="100" spans="1:10" ht="18" customHeight="1" x14ac:dyDescent="0.2">
      <c r="A100" s="64" t="s">
        <v>69</v>
      </c>
      <c r="B100" s="16" t="s">
        <v>31</v>
      </c>
      <c r="C100" s="64" t="s">
        <v>32</v>
      </c>
      <c r="D100" s="64" t="s">
        <v>9</v>
      </c>
      <c r="E100" s="107" t="s">
        <v>179</v>
      </c>
      <c r="F100" s="107"/>
      <c r="G100" s="17" t="s">
        <v>33</v>
      </c>
      <c r="H100" s="16" t="s">
        <v>10</v>
      </c>
      <c r="I100" s="16" t="s">
        <v>34</v>
      </c>
      <c r="J100" s="16" t="s">
        <v>11</v>
      </c>
    </row>
    <row r="101" spans="1:10" ht="26.1" customHeight="1" x14ac:dyDescent="0.2">
      <c r="A101" s="66" t="s">
        <v>180</v>
      </c>
      <c r="B101" s="24" t="s">
        <v>70</v>
      </c>
      <c r="C101" s="66" t="s">
        <v>40</v>
      </c>
      <c r="D101" s="66" t="s">
        <v>71</v>
      </c>
      <c r="E101" s="108" t="s">
        <v>269</v>
      </c>
      <c r="F101" s="108"/>
      <c r="G101" s="23" t="s">
        <v>59</v>
      </c>
      <c r="H101" s="35">
        <v>1</v>
      </c>
      <c r="I101" s="25">
        <v>12.85</v>
      </c>
      <c r="J101" s="25">
        <v>12.85</v>
      </c>
    </row>
    <row r="102" spans="1:10" ht="24" customHeight="1" x14ac:dyDescent="0.2">
      <c r="A102" s="67" t="s">
        <v>182</v>
      </c>
      <c r="B102" s="36" t="s">
        <v>222</v>
      </c>
      <c r="C102" s="67" t="s">
        <v>40</v>
      </c>
      <c r="D102" s="67" t="s">
        <v>223</v>
      </c>
      <c r="E102" s="105" t="s">
        <v>181</v>
      </c>
      <c r="F102" s="105"/>
      <c r="G102" s="37" t="s">
        <v>42</v>
      </c>
      <c r="H102" s="38">
        <v>5.4399999999999997E-2</v>
      </c>
      <c r="I102" s="39">
        <v>19.649999999999999</v>
      </c>
      <c r="J102" s="39">
        <v>1.06</v>
      </c>
    </row>
    <row r="103" spans="1:10" ht="24" customHeight="1" x14ac:dyDescent="0.2">
      <c r="A103" s="67" t="s">
        <v>182</v>
      </c>
      <c r="B103" s="36" t="s">
        <v>270</v>
      </c>
      <c r="C103" s="67" t="s">
        <v>40</v>
      </c>
      <c r="D103" s="67" t="s">
        <v>271</v>
      </c>
      <c r="E103" s="105" t="s">
        <v>181</v>
      </c>
      <c r="F103" s="105"/>
      <c r="G103" s="37" t="s">
        <v>42</v>
      </c>
      <c r="H103" s="38">
        <v>0.16309999999999999</v>
      </c>
      <c r="I103" s="39">
        <v>26.06</v>
      </c>
      <c r="J103" s="39">
        <v>4.25</v>
      </c>
    </row>
    <row r="104" spans="1:10" ht="24" customHeight="1" x14ac:dyDescent="0.2">
      <c r="A104" s="68" t="s">
        <v>185</v>
      </c>
      <c r="B104" s="40" t="s">
        <v>277</v>
      </c>
      <c r="C104" s="68" t="s">
        <v>40</v>
      </c>
      <c r="D104" s="68" t="s">
        <v>278</v>
      </c>
      <c r="E104" s="106" t="s">
        <v>196</v>
      </c>
      <c r="F104" s="106"/>
      <c r="G104" s="41" t="s">
        <v>279</v>
      </c>
      <c r="H104" s="42">
        <v>0.22850000000000001</v>
      </c>
      <c r="I104" s="43">
        <v>33.03</v>
      </c>
      <c r="J104" s="43">
        <v>7.54</v>
      </c>
    </row>
    <row r="105" spans="1:10" x14ac:dyDescent="0.2">
      <c r="A105" s="63"/>
      <c r="B105" s="63"/>
      <c r="C105" s="63"/>
      <c r="D105" s="63"/>
      <c r="E105" s="63" t="s">
        <v>200</v>
      </c>
      <c r="F105" s="44">
        <v>3.66</v>
      </c>
      <c r="G105" s="63" t="s">
        <v>201</v>
      </c>
      <c r="H105" s="44">
        <v>0</v>
      </c>
      <c r="I105" s="63" t="s">
        <v>202</v>
      </c>
      <c r="J105" s="44">
        <v>3.66</v>
      </c>
    </row>
    <row r="106" spans="1:10" ht="14.25" customHeight="1" x14ac:dyDescent="0.2">
      <c r="A106" s="63"/>
      <c r="B106" s="63"/>
      <c r="C106" s="63"/>
      <c r="D106" s="63"/>
      <c r="E106" s="63" t="s">
        <v>203</v>
      </c>
      <c r="F106" s="44">
        <v>3.53</v>
      </c>
      <c r="G106" s="63"/>
      <c r="H106" s="104" t="s">
        <v>204</v>
      </c>
      <c r="I106" s="104"/>
      <c r="J106" s="44">
        <v>16.38</v>
      </c>
    </row>
    <row r="107" spans="1:10" ht="50.1" customHeight="1" thickBot="1" x14ac:dyDescent="0.25">
      <c r="A107" s="61"/>
      <c r="B107" s="61"/>
      <c r="C107" s="61"/>
      <c r="D107" s="61"/>
      <c r="E107" s="61"/>
      <c r="F107" s="61"/>
      <c r="G107" s="61" t="s">
        <v>205</v>
      </c>
      <c r="H107" s="45" t="s">
        <v>280</v>
      </c>
      <c r="I107" s="61" t="s">
        <v>207</v>
      </c>
      <c r="J107" s="62">
        <v>3123.33</v>
      </c>
    </row>
    <row r="108" spans="1:10" ht="0.95" customHeight="1" thickTop="1" x14ac:dyDescent="0.2">
      <c r="A108" s="47"/>
      <c r="B108" s="47"/>
      <c r="C108" s="47"/>
      <c r="D108" s="47"/>
      <c r="E108" s="47"/>
      <c r="F108" s="47"/>
      <c r="G108" s="47"/>
      <c r="H108" s="47"/>
      <c r="I108" s="47"/>
      <c r="J108" s="47"/>
    </row>
    <row r="109" spans="1:10" ht="18" customHeight="1" x14ac:dyDescent="0.2">
      <c r="A109" s="64" t="s">
        <v>72</v>
      </c>
      <c r="B109" s="16" t="s">
        <v>31</v>
      </c>
      <c r="C109" s="64" t="s">
        <v>32</v>
      </c>
      <c r="D109" s="64" t="s">
        <v>9</v>
      </c>
      <c r="E109" s="107" t="s">
        <v>179</v>
      </c>
      <c r="F109" s="107"/>
      <c r="G109" s="17" t="s">
        <v>33</v>
      </c>
      <c r="H109" s="16" t="s">
        <v>10</v>
      </c>
      <c r="I109" s="16" t="s">
        <v>34</v>
      </c>
      <c r="J109" s="16" t="s">
        <v>11</v>
      </c>
    </row>
    <row r="110" spans="1:10" ht="26.1" customHeight="1" x14ac:dyDescent="0.2">
      <c r="A110" s="66" t="s">
        <v>180</v>
      </c>
      <c r="B110" s="24" t="s">
        <v>73</v>
      </c>
      <c r="C110" s="66" t="s">
        <v>40</v>
      </c>
      <c r="D110" s="66" t="s">
        <v>74</v>
      </c>
      <c r="E110" s="108" t="s">
        <v>269</v>
      </c>
      <c r="F110" s="108"/>
      <c r="G110" s="23" t="s">
        <v>59</v>
      </c>
      <c r="H110" s="35">
        <v>1</v>
      </c>
      <c r="I110" s="25">
        <v>14.93</v>
      </c>
      <c r="J110" s="25">
        <v>14.93</v>
      </c>
    </row>
    <row r="111" spans="1:10" ht="24" customHeight="1" x14ac:dyDescent="0.2">
      <c r="A111" s="67" t="s">
        <v>182</v>
      </c>
      <c r="B111" s="36" t="s">
        <v>222</v>
      </c>
      <c r="C111" s="67" t="s">
        <v>40</v>
      </c>
      <c r="D111" s="67" t="s">
        <v>223</v>
      </c>
      <c r="E111" s="105" t="s">
        <v>181</v>
      </c>
      <c r="F111" s="105"/>
      <c r="G111" s="37" t="s">
        <v>42</v>
      </c>
      <c r="H111" s="38">
        <v>7.5700000000000003E-2</v>
      </c>
      <c r="I111" s="39">
        <v>19.649999999999999</v>
      </c>
      <c r="J111" s="39">
        <v>1.48</v>
      </c>
    </row>
    <row r="112" spans="1:10" ht="24" customHeight="1" x14ac:dyDescent="0.2">
      <c r="A112" s="67" t="s">
        <v>182</v>
      </c>
      <c r="B112" s="36" t="s">
        <v>270</v>
      </c>
      <c r="C112" s="67" t="s">
        <v>40</v>
      </c>
      <c r="D112" s="67" t="s">
        <v>271</v>
      </c>
      <c r="E112" s="105" t="s">
        <v>181</v>
      </c>
      <c r="F112" s="105"/>
      <c r="G112" s="37" t="s">
        <v>42</v>
      </c>
      <c r="H112" s="38">
        <v>0.22700000000000001</v>
      </c>
      <c r="I112" s="39">
        <v>26.06</v>
      </c>
      <c r="J112" s="39">
        <v>5.91</v>
      </c>
    </row>
    <row r="113" spans="1:10" ht="24" customHeight="1" x14ac:dyDescent="0.2">
      <c r="A113" s="68" t="s">
        <v>185</v>
      </c>
      <c r="B113" s="40" t="s">
        <v>277</v>
      </c>
      <c r="C113" s="68" t="s">
        <v>40</v>
      </c>
      <c r="D113" s="68" t="s">
        <v>278</v>
      </c>
      <c r="E113" s="106" t="s">
        <v>196</v>
      </c>
      <c r="F113" s="106"/>
      <c r="G113" s="41" t="s">
        <v>279</v>
      </c>
      <c r="H113" s="42">
        <v>0.22850000000000001</v>
      </c>
      <c r="I113" s="43">
        <v>33.03</v>
      </c>
      <c r="J113" s="43">
        <v>7.54</v>
      </c>
    </row>
    <row r="114" spans="1:10" x14ac:dyDescent="0.2">
      <c r="A114" s="63"/>
      <c r="B114" s="63"/>
      <c r="C114" s="63"/>
      <c r="D114" s="63"/>
      <c r="E114" s="63" t="s">
        <v>200</v>
      </c>
      <c r="F114" s="44">
        <v>5.1100000000000003</v>
      </c>
      <c r="G114" s="63" t="s">
        <v>201</v>
      </c>
      <c r="H114" s="44">
        <v>0</v>
      </c>
      <c r="I114" s="63" t="s">
        <v>202</v>
      </c>
      <c r="J114" s="44">
        <v>5.1100000000000003</v>
      </c>
    </row>
    <row r="115" spans="1:10" ht="14.25" customHeight="1" x14ac:dyDescent="0.2">
      <c r="A115" s="63"/>
      <c r="B115" s="63"/>
      <c r="C115" s="63"/>
      <c r="D115" s="63"/>
      <c r="E115" s="63" t="s">
        <v>203</v>
      </c>
      <c r="F115" s="44">
        <v>4.1100000000000003</v>
      </c>
      <c r="G115" s="63"/>
      <c r="H115" s="104" t="s">
        <v>204</v>
      </c>
      <c r="I115" s="104"/>
      <c r="J115" s="44">
        <v>19.04</v>
      </c>
    </row>
    <row r="116" spans="1:10" ht="50.1" customHeight="1" thickBot="1" x14ac:dyDescent="0.25">
      <c r="A116" s="61"/>
      <c r="B116" s="61"/>
      <c r="C116" s="61"/>
      <c r="D116" s="61"/>
      <c r="E116" s="61"/>
      <c r="F116" s="61"/>
      <c r="G116" s="61" t="s">
        <v>205</v>
      </c>
      <c r="H116" s="45" t="s">
        <v>281</v>
      </c>
      <c r="I116" s="61" t="s">
        <v>207</v>
      </c>
      <c r="J116" s="62">
        <v>984.17</v>
      </c>
    </row>
    <row r="117" spans="1:10" ht="0.95" customHeight="1" thickTop="1" x14ac:dyDescent="0.2">
      <c r="A117" s="47"/>
      <c r="B117" s="47"/>
      <c r="C117" s="47"/>
      <c r="D117" s="47"/>
      <c r="E117" s="47"/>
      <c r="F117" s="47"/>
      <c r="G117" s="47"/>
      <c r="H117" s="47"/>
      <c r="I117" s="47"/>
      <c r="J117" s="47"/>
    </row>
    <row r="118" spans="1:10" ht="18" customHeight="1" x14ac:dyDescent="0.2">
      <c r="A118" s="64" t="s">
        <v>75</v>
      </c>
      <c r="B118" s="16" t="s">
        <v>31</v>
      </c>
      <c r="C118" s="64" t="s">
        <v>32</v>
      </c>
      <c r="D118" s="64" t="s">
        <v>9</v>
      </c>
      <c r="E118" s="107" t="s">
        <v>179</v>
      </c>
      <c r="F118" s="107"/>
      <c r="G118" s="17" t="s">
        <v>33</v>
      </c>
      <c r="H118" s="16" t="s">
        <v>10</v>
      </c>
      <c r="I118" s="16" t="s">
        <v>34</v>
      </c>
      <c r="J118" s="16" t="s">
        <v>11</v>
      </c>
    </row>
    <row r="119" spans="1:10" ht="26.1" customHeight="1" x14ac:dyDescent="0.2">
      <c r="A119" s="66" t="s">
        <v>180</v>
      </c>
      <c r="B119" s="24" t="s">
        <v>76</v>
      </c>
      <c r="C119" s="66" t="s">
        <v>40</v>
      </c>
      <c r="D119" s="66" t="s">
        <v>77</v>
      </c>
      <c r="E119" s="108" t="s">
        <v>269</v>
      </c>
      <c r="F119" s="108"/>
      <c r="G119" s="23" t="s">
        <v>59</v>
      </c>
      <c r="H119" s="35">
        <v>1</v>
      </c>
      <c r="I119" s="25">
        <v>23.59</v>
      </c>
      <c r="J119" s="25">
        <v>23.59</v>
      </c>
    </row>
    <row r="120" spans="1:10" ht="24" customHeight="1" x14ac:dyDescent="0.2">
      <c r="A120" s="67" t="s">
        <v>182</v>
      </c>
      <c r="B120" s="36" t="s">
        <v>270</v>
      </c>
      <c r="C120" s="67" t="s">
        <v>40</v>
      </c>
      <c r="D120" s="67" t="s">
        <v>271</v>
      </c>
      <c r="E120" s="105" t="s">
        <v>181</v>
      </c>
      <c r="F120" s="105"/>
      <c r="G120" s="37" t="s">
        <v>42</v>
      </c>
      <c r="H120" s="38">
        <v>0.57079999999999997</v>
      </c>
      <c r="I120" s="39">
        <v>26.06</v>
      </c>
      <c r="J120" s="39">
        <v>14.87</v>
      </c>
    </row>
    <row r="121" spans="1:10" ht="24" customHeight="1" x14ac:dyDescent="0.2">
      <c r="A121" s="68" t="s">
        <v>185</v>
      </c>
      <c r="B121" s="40" t="s">
        <v>282</v>
      </c>
      <c r="C121" s="68" t="s">
        <v>40</v>
      </c>
      <c r="D121" s="68" t="s">
        <v>283</v>
      </c>
      <c r="E121" s="106" t="s">
        <v>196</v>
      </c>
      <c r="F121" s="106"/>
      <c r="G121" s="41" t="s">
        <v>279</v>
      </c>
      <c r="H121" s="42">
        <v>0.31950000000000001</v>
      </c>
      <c r="I121" s="43">
        <v>25.14</v>
      </c>
      <c r="J121" s="43">
        <v>8.0299999999999994</v>
      </c>
    </row>
    <row r="122" spans="1:10" ht="24" customHeight="1" x14ac:dyDescent="0.2">
      <c r="A122" s="68" t="s">
        <v>185</v>
      </c>
      <c r="B122" s="40" t="s">
        <v>284</v>
      </c>
      <c r="C122" s="68" t="s">
        <v>40</v>
      </c>
      <c r="D122" s="68" t="s">
        <v>285</v>
      </c>
      <c r="E122" s="106" t="s">
        <v>196</v>
      </c>
      <c r="F122" s="106"/>
      <c r="G122" s="41" t="s">
        <v>279</v>
      </c>
      <c r="H122" s="42">
        <v>3.1899999999999998E-2</v>
      </c>
      <c r="I122" s="43">
        <v>21.69</v>
      </c>
      <c r="J122" s="43">
        <v>0.69</v>
      </c>
    </row>
    <row r="123" spans="1:10" x14ac:dyDescent="0.2">
      <c r="A123" s="63"/>
      <c r="B123" s="63"/>
      <c r="C123" s="63"/>
      <c r="D123" s="63"/>
      <c r="E123" s="63" t="s">
        <v>200</v>
      </c>
      <c r="F123" s="44">
        <v>10.28</v>
      </c>
      <c r="G123" s="63" t="s">
        <v>201</v>
      </c>
      <c r="H123" s="44">
        <v>0</v>
      </c>
      <c r="I123" s="63" t="s">
        <v>202</v>
      </c>
      <c r="J123" s="44">
        <v>10.28</v>
      </c>
    </row>
    <row r="124" spans="1:10" ht="14.25" customHeight="1" x14ac:dyDescent="0.2">
      <c r="A124" s="63"/>
      <c r="B124" s="63"/>
      <c r="C124" s="63"/>
      <c r="D124" s="63"/>
      <c r="E124" s="63" t="s">
        <v>203</v>
      </c>
      <c r="F124" s="44">
        <v>6.49</v>
      </c>
      <c r="G124" s="63"/>
      <c r="H124" s="104" t="s">
        <v>204</v>
      </c>
      <c r="I124" s="104"/>
      <c r="J124" s="44">
        <v>30.08</v>
      </c>
    </row>
    <row r="125" spans="1:10" ht="50.1" customHeight="1" thickBot="1" x14ac:dyDescent="0.25">
      <c r="A125" s="61"/>
      <c r="B125" s="61"/>
      <c r="C125" s="61"/>
      <c r="D125" s="61"/>
      <c r="E125" s="61"/>
      <c r="F125" s="61"/>
      <c r="G125" s="61" t="s">
        <v>205</v>
      </c>
      <c r="H125" s="45" t="s">
        <v>286</v>
      </c>
      <c r="I125" s="61" t="s">
        <v>207</v>
      </c>
      <c r="J125" s="62">
        <v>101.06</v>
      </c>
    </row>
    <row r="126" spans="1:10" ht="0.95" customHeight="1" thickTop="1" x14ac:dyDescent="0.2">
      <c r="A126" s="47"/>
      <c r="B126" s="47"/>
      <c r="C126" s="47"/>
      <c r="D126" s="47"/>
      <c r="E126" s="47"/>
      <c r="F126" s="47"/>
      <c r="G126" s="47"/>
      <c r="H126" s="47"/>
      <c r="I126" s="47"/>
      <c r="J126" s="47"/>
    </row>
    <row r="127" spans="1:10" ht="18" customHeight="1" x14ac:dyDescent="0.2">
      <c r="A127" s="64" t="s">
        <v>78</v>
      </c>
      <c r="B127" s="16" t="s">
        <v>31</v>
      </c>
      <c r="C127" s="64" t="s">
        <v>32</v>
      </c>
      <c r="D127" s="64" t="s">
        <v>9</v>
      </c>
      <c r="E127" s="107" t="s">
        <v>179</v>
      </c>
      <c r="F127" s="107"/>
      <c r="G127" s="17" t="s">
        <v>33</v>
      </c>
      <c r="H127" s="16" t="s">
        <v>10</v>
      </c>
      <c r="I127" s="16" t="s">
        <v>34</v>
      </c>
      <c r="J127" s="16" t="s">
        <v>11</v>
      </c>
    </row>
    <row r="128" spans="1:10" ht="26.1" customHeight="1" x14ac:dyDescent="0.2">
      <c r="A128" s="66" t="s">
        <v>180</v>
      </c>
      <c r="B128" s="24" t="s">
        <v>79</v>
      </c>
      <c r="C128" s="66" t="s">
        <v>40</v>
      </c>
      <c r="D128" s="66" t="s">
        <v>80</v>
      </c>
      <c r="E128" s="108" t="s">
        <v>269</v>
      </c>
      <c r="F128" s="108"/>
      <c r="G128" s="23" t="s">
        <v>59</v>
      </c>
      <c r="H128" s="35">
        <v>1</v>
      </c>
      <c r="I128" s="25">
        <v>25.94</v>
      </c>
      <c r="J128" s="25">
        <v>25.94</v>
      </c>
    </row>
    <row r="129" spans="1:10" ht="24" customHeight="1" x14ac:dyDescent="0.2">
      <c r="A129" s="67" t="s">
        <v>182</v>
      </c>
      <c r="B129" s="36" t="s">
        <v>270</v>
      </c>
      <c r="C129" s="67" t="s">
        <v>40</v>
      </c>
      <c r="D129" s="67" t="s">
        <v>271</v>
      </c>
      <c r="E129" s="105" t="s">
        <v>181</v>
      </c>
      <c r="F129" s="105"/>
      <c r="G129" s="37" t="s">
        <v>42</v>
      </c>
      <c r="H129" s="38">
        <v>0.28060000000000002</v>
      </c>
      <c r="I129" s="39">
        <v>26.06</v>
      </c>
      <c r="J129" s="39">
        <v>7.31</v>
      </c>
    </row>
    <row r="130" spans="1:10" ht="24" customHeight="1" x14ac:dyDescent="0.2">
      <c r="A130" s="68" t="s">
        <v>185</v>
      </c>
      <c r="B130" s="40" t="s">
        <v>284</v>
      </c>
      <c r="C130" s="68" t="s">
        <v>40</v>
      </c>
      <c r="D130" s="68" t="s">
        <v>285</v>
      </c>
      <c r="E130" s="106" t="s">
        <v>196</v>
      </c>
      <c r="F130" s="106"/>
      <c r="G130" s="41" t="s">
        <v>279</v>
      </c>
      <c r="H130" s="42">
        <v>2.76E-2</v>
      </c>
      <c r="I130" s="43">
        <v>21.69</v>
      </c>
      <c r="J130" s="43">
        <v>0.59</v>
      </c>
    </row>
    <row r="131" spans="1:10" ht="26.1" customHeight="1" x14ac:dyDescent="0.2">
      <c r="A131" s="68" t="s">
        <v>185</v>
      </c>
      <c r="B131" s="40" t="s">
        <v>287</v>
      </c>
      <c r="C131" s="68" t="s">
        <v>40</v>
      </c>
      <c r="D131" s="68" t="s">
        <v>288</v>
      </c>
      <c r="E131" s="106" t="s">
        <v>196</v>
      </c>
      <c r="F131" s="106"/>
      <c r="G131" s="41" t="s">
        <v>279</v>
      </c>
      <c r="H131" s="42">
        <v>0.49608000000000002</v>
      </c>
      <c r="I131" s="43">
        <v>35.409999999999997</v>
      </c>
      <c r="J131" s="43">
        <v>17.559999999999999</v>
      </c>
    </row>
    <row r="132" spans="1:10" ht="26.1" customHeight="1" x14ac:dyDescent="0.2">
      <c r="A132" s="68" t="s">
        <v>185</v>
      </c>
      <c r="B132" s="40" t="s">
        <v>274</v>
      </c>
      <c r="C132" s="68" t="s">
        <v>40</v>
      </c>
      <c r="D132" s="68" t="s">
        <v>275</v>
      </c>
      <c r="E132" s="106" t="s">
        <v>196</v>
      </c>
      <c r="F132" s="106"/>
      <c r="G132" s="41" t="s">
        <v>93</v>
      </c>
      <c r="H132" s="42">
        <v>0.4</v>
      </c>
      <c r="I132" s="43">
        <v>1.21</v>
      </c>
      <c r="J132" s="43">
        <v>0.48</v>
      </c>
    </row>
    <row r="133" spans="1:10" x14ac:dyDescent="0.2">
      <c r="A133" s="63"/>
      <c r="B133" s="63"/>
      <c r="C133" s="63"/>
      <c r="D133" s="63"/>
      <c r="E133" s="63" t="s">
        <v>200</v>
      </c>
      <c r="F133" s="44">
        <v>5.05</v>
      </c>
      <c r="G133" s="63" t="s">
        <v>201</v>
      </c>
      <c r="H133" s="44">
        <v>0</v>
      </c>
      <c r="I133" s="63" t="s">
        <v>202</v>
      </c>
      <c r="J133" s="44">
        <v>5.05</v>
      </c>
    </row>
    <row r="134" spans="1:10" ht="14.25" customHeight="1" x14ac:dyDescent="0.2">
      <c r="A134" s="63"/>
      <c r="B134" s="63"/>
      <c r="C134" s="63"/>
      <c r="D134" s="63"/>
      <c r="E134" s="63" t="s">
        <v>203</v>
      </c>
      <c r="F134" s="44">
        <v>7.14</v>
      </c>
      <c r="G134" s="63"/>
      <c r="H134" s="104" t="s">
        <v>204</v>
      </c>
      <c r="I134" s="104"/>
      <c r="J134" s="44">
        <v>33.08</v>
      </c>
    </row>
    <row r="135" spans="1:10" ht="50.1" customHeight="1" thickBot="1" x14ac:dyDescent="0.25">
      <c r="A135" s="61"/>
      <c r="B135" s="61"/>
      <c r="C135" s="61"/>
      <c r="D135" s="61"/>
      <c r="E135" s="61"/>
      <c r="F135" s="61"/>
      <c r="G135" s="61" t="s">
        <v>205</v>
      </c>
      <c r="H135" s="45" t="s">
        <v>286</v>
      </c>
      <c r="I135" s="61" t="s">
        <v>207</v>
      </c>
      <c r="J135" s="62">
        <v>111.14</v>
      </c>
    </row>
    <row r="136" spans="1:10" ht="0.95" customHeight="1" thickTop="1" x14ac:dyDescent="0.2">
      <c r="A136" s="47"/>
      <c r="B136" s="47"/>
      <c r="C136" s="47"/>
      <c r="D136" s="47"/>
      <c r="E136" s="47"/>
      <c r="F136" s="47"/>
      <c r="G136" s="47"/>
      <c r="H136" s="47"/>
      <c r="I136" s="47"/>
      <c r="J136" s="47"/>
    </row>
    <row r="137" spans="1:10" ht="18" customHeight="1" x14ac:dyDescent="0.2">
      <c r="A137" s="64" t="s">
        <v>81</v>
      </c>
      <c r="B137" s="16" t="s">
        <v>31</v>
      </c>
      <c r="C137" s="64" t="s">
        <v>32</v>
      </c>
      <c r="D137" s="64" t="s">
        <v>9</v>
      </c>
      <c r="E137" s="107" t="s">
        <v>179</v>
      </c>
      <c r="F137" s="107"/>
      <c r="G137" s="17" t="s">
        <v>33</v>
      </c>
      <c r="H137" s="16" t="s">
        <v>10</v>
      </c>
      <c r="I137" s="16" t="s">
        <v>34</v>
      </c>
      <c r="J137" s="16" t="s">
        <v>11</v>
      </c>
    </row>
    <row r="138" spans="1:10" ht="26.1" customHeight="1" x14ac:dyDescent="0.2">
      <c r="A138" s="66" t="s">
        <v>180</v>
      </c>
      <c r="B138" s="24" t="s">
        <v>82</v>
      </c>
      <c r="C138" s="66" t="s">
        <v>40</v>
      </c>
      <c r="D138" s="66" t="s">
        <v>83</v>
      </c>
      <c r="E138" s="108" t="s">
        <v>269</v>
      </c>
      <c r="F138" s="108"/>
      <c r="G138" s="23" t="s">
        <v>59</v>
      </c>
      <c r="H138" s="35">
        <v>1</v>
      </c>
      <c r="I138" s="25">
        <v>1.88</v>
      </c>
      <c r="J138" s="25">
        <v>1.88</v>
      </c>
    </row>
    <row r="139" spans="1:10" ht="24" customHeight="1" x14ac:dyDescent="0.2">
      <c r="A139" s="67" t="s">
        <v>182</v>
      </c>
      <c r="B139" s="36" t="s">
        <v>270</v>
      </c>
      <c r="C139" s="67" t="s">
        <v>40</v>
      </c>
      <c r="D139" s="67" t="s">
        <v>271</v>
      </c>
      <c r="E139" s="105" t="s">
        <v>181</v>
      </c>
      <c r="F139" s="105"/>
      <c r="G139" s="37" t="s">
        <v>42</v>
      </c>
      <c r="H139" s="38">
        <v>5.4100000000000002E-2</v>
      </c>
      <c r="I139" s="39">
        <v>26.06</v>
      </c>
      <c r="J139" s="39">
        <v>1.4</v>
      </c>
    </row>
    <row r="140" spans="1:10" ht="26.1" customHeight="1" x14ac:dyDescent="0.2">
      <c r="A140" s="68" t="s">
        <v>185</v>
      </c>
      <c r="B140" s="40" t="s">
        <v>274</v>
      </c>
      <c r="C140" s="68" t="s">
        <v>40</v>
      </c>
      <c r="D140" s="68" t="s">
        <v>275</v>
      </c>
      <c r="E140" s="106" t="s">
        <v>196</v>
      </c>
      <c r="F140" s="106"/>
      <c r="G140" s="41" t="s">
        <v>93</v>
      </c>
      <c r="H140" s="42">
        <v>0.4</v>
      </c>
      <c r="I140" s="43">
        <v>1.21</v>
      </c>
      <c r="J140" s="43">
        <v>0.48</v>
      </c>
    </row>
    <row r="141" spans="1:10" x14ac:dyDescent="0.2">
      <c r="A141" s="63"/>
      <c r="B141" s="63"/>
      <c r="C141" s="63"/>
      <c r="D141" s="63"/>
      <c r="E141" s="63" t="s">
        <v>200</v>
      </c>
      <c r="F141" s="44">
        <v>0.97</v>
      </c>
      <c r="G141" s="63" t="s">
        <v>201</v>
      </c>
      <c r="H141" s="44">
        <v>0</v>
      </c>
      <c r="I141" s="63" t="s">
        <v>202</v>
      </c>
      <c r="J141" s="44">
        <v>0.97</v>
      </c>
    </row>
    <row r="142" spans="1:10" ht="14.25" customHeight="1" x14ac:dyDescent="0.2">
      <c r="A142" s="63"/>
      <c r="B142" s="63"/>
      <c r="C142" s="63"/>
      <c r="D142" s="63"/>
      <c r="E142" s="63" t="s">
        <v>203</v>
      </c>
      <c r="F142" s="44">
        <v>0.51</v>
      </c>
      <c r="G142" s="63"/>
      <c r="H142" s="104" t="s">
        <v>204</v>
      </c>
      <c r="I142" s="104"/>
      <c r="J142" s="44">
        <v>2.39</v>
      </c>
    </row>
    <row r="143" spans="1:10" ht="50.1" customHeight="1" thickBot="1" x14ac:dyDescent="0.25">
      <c r="A143" s="61"/>
      <c r="B143" s="61"/>
      <c r="C143" s="61"/>
      <c r="D143" s="61"/>
      <c r="E143" s="61"/>
      <c r="F143" s="61"/>
      <c r="G143" s="61" t="s">
        <v>205</v>
      </c>
      <c r="H143" s="45" t="s">
        <v>286</v>
      </c>
      <c r="I143" s="61" t="s">
        <v>207</v>
      </c>
      <c r="J143" s="62">
        <v>8.0299999999999994</v>
      </c>
    </row>
    <row r="144" spans="1:10" ht="0.95" customHeight="1" thickTop="1" x14ac:dyDescent="0.2">
      <c r="A144" s="47"/>
      <c r="B144" s="47"/>
      <c r="C144" s="47"/>
      <c r="D144" s="47"/>
      <c r="E144" s="47"/>
      <c r="F144" s="47"/>
      <c r="G144" s="47"/>
      <c r="H144" s="47"/>
      <c r="I144" s="47"/>
      <c r="J144" s="47"/>
    </row>
    <row r="145" spans="1:10" ht="18" customHeight="1" x14ac:dyDescent="0.2">
      <c r="A145" s="64" t="s">
        <v>84</v>
      </c>
      <c r="B145" s="16" t="s">
        <v>31</v>
      </c>
      <c r="C145" s="64" t="s">
        <v>32</v>
      </c>
      <c r="D145" s="64" t="s">
        <v>9</v>
      </c>
      <c r="E145" s="107" t="s">
        <v>179</v>
      </c>
      <c r="F145" s="107"/>
      <c r="G145" s="17" t="s">
        <v>33</v>
      </c>
      <c r="H145" s="16" t="s">
        <v>10</v>
      </c>
      <c r="I145" s="16" t="s">
        <v>34</v>
      </c>
      <c r="J145" s="16" t="s">
        <v>11</v>
      </c>
    </row>
    <row r="146" spans="1:10" ht="26.1" customHeight="1" x14ac:dyDescent="0.2">
      <c r="A146" s="66" t="s">
        <v>180</v>
      </c>
      <c r="B146" s="24" t="s">
        <v>85</v>
      </c>
      <c r="C146" s="66" t="s">
        <v>40</v>
      </c>
      <c r="D146" s="66" t="s">
        <v>86</v>
      </c>
      <c r="E146" s="108" t="s">
        <v>269</v>
      </c>
      <c r="F146" s="108"/>
      <c r="G146" s="23" t="s">
        <v>59</v>
      </c>
      <c r="H146" s="35">
        <v>1</v>
      </c>
      <c r="I146" s="25">
        <v>3.36</v>
      </c>
      <c r="J146" s="25">
        <v>3.36</v>
      </c>
    </row>
    <row r="147" spans="1:10" ht="24" customHeight="1" x14ac:dyDescent="0.2">
      <c r="A147" s="67" t="s">
        <v>182</v>
      </c>
      <c r="B147" s="36" t="s">
        <v>270</v>
      </c>
      <c r="C147" s="67" t="s">
        <v>40</v>
      </c>
      <c r="D147" s="67" t="s">
        <v>271</v>
      </c>
      <c r="E147" s="105" t="s">
        <v>181</v>
      </c>
      <c r="F147" s="105"/>
      <c r="G147" s="37" t="s">
        <v>42</v>
      </c>
      <c r="H147" s="38">
        <v>6.6600000000000006E-2</v>
      </c>
      <c r="I147" s="39">
        <v>26.06</v>
      </c>
      <c r="J147" s="39">
        <v>1.73</v>
      </c>
    </row>
    <row r="148" spans="1:10" ht="24" customHeight="1" x14ac:dyDescent="0.2">
      <c r="A148" s="67" t="s">
        <v>182</v>
      </c>
      <c r="B148" s="36" t="s">
        <v>222</v>
      </c>
      <c r="C148" s="67" t="s">
        <v>40</v>
      </c>
      <c r="D148" s="67" t="s">
        <v>223</v>
      </c>
      <c r="E148" s="105" t="s">
        <v>181</v>
      </c>
      <c r="F148" s="105"/>
      <c r="G148" s="37" t="s">
        <v>42</v>
      </c>
      <c r="H148" s="38">
        <v>2.2200000000000001E-2</v>
      </c>
      <c r="I148" s="39">
        <v>19.649999999999999</v>
      </c>
      <c r="J148" s="39">
        <v>0.43</v>
      </c>
    </row>
    <row r="149" spans="1:10" ht="24" customHeight="1" x14ac:dyDescent="0.2">
      <c r="A149" s="68" t="s">
        <v>185</v>
      </c>
      <c r="B149" s="40" t="s">
        <v>289</v>
      </c>
      <c r="C149" s="68" t="s">
        <v>40</v>
      </c>
      <c r="D149" s="68" t="s">
        <v>290</v>
      </c>
      <c r="E149" s="106" t="s">
        <v>196</v>
      </c>
      <c r="F149" s="106"/>
      <c r="G149" s="41" t="s">
        <v>279</v>
      </c>
      <c r="H149" s="42">
        <v>0.1666</v>
      </c>
      <c r="I149" s="43">
        <v>7.22</v>
      </c>
      <c r="J149" s="43">
        <v>1.2</v>
      </c>
    </row>
    <row r="150" spans="1:10" x14ac:dyDescent="0.2">
      <c r="A150" s="63"/>
      <c r="B150" s="63"/>
      <c r="C150" s="63"/>
      <c r="D150" s="63"/>
      <c r="E150" s="63" t="s">
        <v>200</v>
      </c>
      <c r="F150" s="44">
        <v>1.49</v>
      </c>
      <c r="G150" s="63" t="s">
        <v>201</v>
      </c>
      <c r="H150" s="44">
        <v>0</v>
      </c>
      <c r="I150" s="63" t="s">
        <v>202</v>
      </c>
      <c r="J150" s="44">
        <v>1.49</v>
      </c>
    </row>
    <row r="151" spans="1:10" ht="14.25" customHeight="1" x14ac:dyDescent="0.2">
      <c r="A151" s="63"/>
      <c r="B151" s="63"/>
      <c r="C151" s="63"/>
      <c r="D151" s="63"/>
      <c r="E151" s="63" t="s">
        <v>203</v>
      </c>
      <c r="F151" s="44">
        <v>0.92</v>
      </c>
      <c r="G151" s="63"/>
      <c r="H151" s="104" t="s">
        <v>204</v>
      </c>
      <c r="I151" s="104"/>
      <c r="J151" s="44">
        <v>4.28</v>
      </c>
    </row>
    <row r="152" spans="1:10" ht="50.1" customHeight="1" thickBot="1" x14ac:dyDescent="0.25">
      <c r="A152" s="61"/>
      <c r="B152" s="61"/>
      <c r="C152" s="61"/>
      <c r="D152" s="61"/>
      <c r="E152" s="61"/>
      <c r="F152" s="61"/>
      <c r="G152" s="61" t="s">
        <v>205</v>
      </c>
      <c r="H152" s="45" t="s">
        <v>447</v>
      </c>
      <c r="I152" s="61" t="s">
        <v>207</v>
      </c>
      <c r="J152" s="62">
        <v>180.53</v>
      </c>
    </row>
    <row r="153" spans="1:10" ht="0.95" customHeight="1" thickTop="1" x14ac:dyDescent="0.2">
      <c r="A153" s="47"/>
      <c r="B153" s="47"/>
      <c r="C153" s="47"/>
      <c r="D153" s="47"/>
      <c r="E153" s="47"/>
      <c r="F153" s="47"/>
      <c r="G153" s="47"/>
      <c r="H153" s="47"/>
      <c r="I153" s="47"/>
      <c r="J153" s="47"/>
    </row>
    <row r="154" spans="1:10" ht="24" customHeight="1" x14ac:dyDescent="0.2">
      <c r="A154" s="64" t="s">
        <v>441</v>
      </c>
      <c r="B154" s="16" t="s">
        <v>31</v>
      </c>
      <c r="C154" s="64" t="s">
        <v>32</v>
      </c>
      <c r="D154" s="64" t="s">
        <v>9</v>
      </c>
      <c r="E154" s="107" t="s">
        <v>179</v>
      </c>
      <c r="F154" s="107"/>
      <c r="G154" s="17" t="s">
        <v>33</v>
      </c>
      <c r="H154" s="16" t="s">
        <v>10</v>
      </c>
      <c r="I154" s="16" t="s">
        <v>34</v>
      </c>
      <c r="J154" s="16" t="s">
        <v>11</v>
      </c>
    </row>
    <row r="155" spans="1:10" ht="18" customHeight="1" x14ac:dyDescent="0.2">
      <c r="A155" s="66" t="s">
        <v>180</v>
      </c>
      <c r="B155" s="24" t="s">
        <v>442</v>
      </c>
      <c r="C155" s="66" t="s">
        <v>40</v>
      </c>
      <c r="D155" s="66" t="s">
        <v>443</v>
      </c>
      <c r="E155" s="108" t="s">
        <v>269</v>
      </c>
      <c r="F155" s="108"/>
      <c r="G155" s="23" t="s">
        <v>59</v>
      </c>
      <c r="H155" s="35">
        <v>1</v>
      </c>
      <c r="I155" s="25">
        <v>29.09</v>
      </c>
      <c r="J155" s="25">
        <v>29.09</v>
      </c>
    </row>
    <row r="156" spans="1:10" ht="26.1" customHeight="1" x14ac:dyDescent="0.2">
      <c r="A156" s="67" t="s">
        <v>182</v>
      </c>
      <c r="B156" s="36" t="s">
        <v>270</v>
      </c>
      <c r="C156" s="67" t="s">
        <v>40</v>
      </c>
      <c r="D156" s="67" t="s">
        <v>271</v>
      </c>
      <c r="E156" s="105" t="s">
        <v>181</v>
      </c>
      <c r="F156" s="105"/>
      <c r="G156" s="37" t="s">
        <v>42</v>
      </c>
      <c r="H156" s="38">
        <v>0.7419</v>
      </c>
      <c r="I156" s="39">
        <v>26.06</v>
      </c>
      <c r="J156" s="39">
        <v>19.329999999999998</v>
      </c>
    </row>
    <row r="157" spans="1:10" ht="24" customHeight="1" x14ac:dyDescent="0.2">
      <c r="A157" s="67" t="s">
        <v>182</v>
      </c>
      <c r="B157" s="36" t="s">
        <v>222</v>
      </c>
      <c r="C157" s="67" t="s">
        <v>40</v>
      </c>
      <c r="D157" s="67" t="s">
        <v>223</v>
      </c>
      <c r="E157" s="105" t="s">
        <v>181</v>
      </c>
      <c r="F157" s="105"/>
      <c r="G157" s="37" t="s">
        <v>42</v>
      </c>
      <c r="H157" s="38">
        <v>0.24729999999999999</v>
      </c>
      <c r="I157" s="39">
        <v>19.649999999999999</v>
      </c>
      <c r="J157" s="39">
        <v>4.8499999999999996</v>
      </c>
    </row>
    <row r="158" spans="1:10" ht="24" customHeight="1" x14ac:dyDescent="0.2">
      <c r="A158" s="68" t="s">
        <v>185</v>
      </c>
      <c r="B158" s="40" t="s">
        <v>274</v>
      </c>
      <c r="C158" s="68" t="s">
        <v>40</v>
      </c>
      <c r="D158" s="68" t="s">
        <v>275</v>
      </c>
      <c r="E158" s="106" t="s">
        <v>196</v>
      </c>
      <c r="F158" s="106"/>
      <c r="G158" s="41" t="s">
        <v>93</v>
      </c>
      <c r="H158" s="42">
        <v>8.0199999999999994E-2</v>
      </c>
      <c r="I158" s="43">
        <v>1.21</v>
      </c>
      <c r="J158" s="43">
        <v>0.09</v>
      </c>
    </row>
    <row r="159" spans="1:10" ht="39" customHeight="1" x14ac:dyDescent="0.2">
      <c r="A159" s="68" t="s">
        <v>185</v>
      </c>
      <c r="B159" s="40" t="s">
        <v>272</v>
      </c>
      <c r="C159" s="68" t="s">
        <v>40</v>
      </c>
      <c r="D159" s="68" t="s">
        <v>273</v>
      </c>
      <c r="E159" s="106" t="s">
        <v>196</v>
      </c>
      <c r="F159" s="106"/>
      <c r="G159" s="41" t="s">
        <v>228</v>
      </c>
      <c r="H159" s="42">
        <v>1.3389</v>
      </c>
      <c r="I159" s="43">
        <v>3.6</v>
      </c>
      <c r="J159" s="43">
        <v>4.82</v>
      </c>
    </row>
    <row r="160" spans="1:10" ht="26.1" customHeight="1" x14ac:dyDescent="0.2">
      <c r="A160" s="63"/>
      <c r="B160" s="63"/>
      <c r="C160" s="63"/>
      <c r="D160" s="63"/>
      <c r="E160" s="63" t="s">
        <v>200</v>
      </c>
      <c r="F160" s="44">
        <v>16.7</v>
      </c>
      <c r="G160" s="63" t="s">
        <v>201</v>
      </c>
      <c r="H160" s="44">
        <v>0</v>
      </c>
      <c r="I160" s="63" t="s">
        <v>202</v>
      </c>
      <c r="J160" s="44">
        <v>16.7</v>
      </c>
    </row>
    <row r="161" spans="1:10" ht="24" customHeight="1" x14ac:dyDescent="0.2">
      <c r="A161" s="63"/>
      <c r="B161" s="63"/>
      <c r="C161" s="63"/>
      <c r="D161" s="63"/>
      <c r="E161" s="63" t="s">
        <v>203</v>
      </c>
      <c r="F161" s="44">
        <v>8.01</v>
      </c>
      <c r="G161" s="63"/>
      <c r="H161" s="104" t="s">
        <v>204</v>
      </c>
      <c r="I161" s="104"/>
      <c r="J161" s="44">
        <v>37.1</v>
      </c>
    </row>
    <row r="162" spans="1:10" ht="24" customHeight="1" thickBot="1" x14ac:dyDescent="0.25">
      <c r="A162" s="61"/>
      <c r="B162" s="61"/>
      <c r="C162" s="61"/>
      <c r="D162" s="61"/>
      <c r="E162" s="61"/>
      <c r="F162" s="61"/>
      <c r="G162" s="61" t="s">
        <v>205</v>
      </c>
      <c r="H162" s="45" t="s">
        <v>259</v>
      </c>
      <c r="I162" s="61" t="s">
        <v>207</v>
      </c>
      <c r="J162" s="62">
        <v>148.4</v>
      </c>
    </row>
    <row r="163" spans="1:10" ht="24" customHeight="1" thickTop="1" x14ac:dyDescent="0.2">
      <c r="A163" s="47"/>
      <c r="B163" s="47"/>
      <c r="C163" s="47"/>
      <c r="D163" s="47"/>
      <c r="E163" s="47"/>
      <c r="F163" s="47"/>
      <c r="G163" s="47"/>
      <c r="H163" s="47"/>
      <c r="I163" s="47"/>
      <c r="J163" s="47"/>
    </row>
    <row r="164" spans="1:10" x14ac:dyDescent="0.2">
      <c r="A164" s="65" t="s">
        <v>19</v>
      </c>
      <c r="B164" s="65"/>
      <c r="C164" s="65"/>
      <c r="D164" s="65" t="s">
        <v>20</v>
      </c>
      <c r="E164" s="65"/>
      <c r="F164" s="109"/>
      <c r="G164" s="109"/>
      <c r="H164" s="20"/>
      <c r="I164" s="65"/>
      <c r="J164" s="21">
        <v>2148.62</v>
      </c>
    </row>
    <row r="165" spans="1:10" ht="14.25" customHeight="1" x14ac:dyDescent="0.2">
      <c r="A165" s="64" t="s">
        <v>87</v>
      </c>
      <c r="B165" s="16" t="s">
        <v>31</v>
      </c>
      <c r="C165" s="64" t="s">
        <v>32</v>
      </c>
      <c r="D165" s="64" t="s">
        <v>9</v>
      </c>
      <c r="E165" s="107" t="s">
        <v>179</v>
      </c>
      <c r="F165" s="107"/>
      <c r="G165" s="17" t="s">
        <v>33</v>
      </c>
      <c r="H165" s="16" t="s">
        <v>10</v>
      </c>
      <c r="I165" s="16" t="s">
        <v>34</v>
      </c>
      <c r="J165" s="16" t="s">
        <v>11</v>
      </c>
    </row>
    <row r="166" spans="1:10" ht="50.1" customHeight="1" x14ac:dyDescent="0.2">
      <c r="A166" s="66" t="s">
        <v>180</v>
      </c>
      <c r="B166" s="24" t="s">
        <v>88</v>
      </c>
      <c r="C166" s="66" t="s">
        <v>40</v>
      </c>
      <c r="D166" s="66" t="s">
        <v>89</v>
      </c>
      <c r="E166" s="108" t="s">
        <v>291</v>
      </c>
      <c r="F166" s="108"/>
      <c r="G166" s="23" t="s">
        <v>59</v>
      </c>
      <c r="H166" s="35">
        <v>1</v>
      </c>
      <c r="I166" s="25">
        <v>438.34</v>
      </c>
      <c r="J166" s="25">
        <v>438.34</v>
      </c>
    </row>
    <row r="167" spans="1:10" ht="0.95" customHeight="1" x14ac:dyDescent="0.2">
      <c r="A167" s="67" t="s">
        <v>182</v>
      </c>
      <c r="B167" s="36" t="s">
        <v>292</v>
      </c>
      <c r="C167" s="67" t="s">
        <v>40</v>
      </c>
      <c r="D167" s="67" t="s">
        <v>293</v>
      </c>
      <c r="E167" s="105" t="s">
        <v>181</v>
      </c>
      <c r="F167" s="105"/>
      <c r="G167" s="37" t="s">
        <v>42</v>
      </c>
      <c r="H167" s="38">
        <v>1.5860000000000001</v>
      </c>
      <c r="I167" s="39">
        <v>21.76</v>
      </c>
      <c r="J167" s="39">
        <v>34.51</v>
      </c>
    </row>
    <row r="168" spans="1:10" ht="18" customHeight="1" x14ac:dyDescent="0.2">
      <c r="A168" s="67" t="s">
        <v>182</v>
      </c>
      <c r="B168" s="36" t="s">
        <v>222</v>
      </c>
      <c r="C168" s="67" t="s">
        <v>40</v>
      </c>
      <c r="D168" s="67" t="s">
        <v>223</v>
      </c>
      <c r="E168" s="105" t="s">
        <v>181</v>
      </c>
      <c r="F168" s="105"/>
      <c r="G168" s="37" t="s">
        <v>42</v>
      </c>
      <c r="H168" s="38">
        <v>1.542</v>
      </c>
      <c r="I168" s="39">
        <v>19.649999999999999</v>
      </c>
      <c r="J168" s="39">
        <v>30.3</v>
      </c>
    </row>
    <row r="169" spans="1:10" ht="65.099999999999994" customHeight="1" x14ac:dyDescent="0.2">
      <c r="A169" s="68" t="s">
        <v>185</v>
      </c>
      <c r="B169" s="40" t="s">
        <v>294</v>
      </c>
      <c r="C169" s="68" t="s">
        <v>40</v>
      </c>
      <c r="D169" s="68" t="s">
        <v>295</v>
      </c>
      <c r="E169" s="106" t="s">
        <v>196</v>
      </c>
      <c r="F169" s="106"/>
      <c r="G169" s="41" t="s">
        <v>93</v>
      </c>
      <c r="H169" s="42">
        <v>2.1960000000000002</v>
      </c>
      <c r="I169" s="43">
        <v>0.2</v>
      </c>
      <c r="J169" s="43">
        <v>0.43</v>
      </c>
    </row>
    <row r="170" spans="1:10" ht="39" customHeight="1" x14ac:dyDescent="0.2">
      <c r="A170" s="68" t="s">
        <v>185</v>
      </c>
      <c r="B170" s="40" t="s">
        <v>251</v>
      </c>
      <c r="C170" s="68" t="s">
        <v>40</v>
      </c>
      <c r="D170" s="68" t="s">
        <v>252</v>
      </c>
      <c r="E170" s="106" t="s">
        <v>196</v>
      </c>
      <c r="F170" s="106"/>
      <c r="G170" s="41" t="s">
        <v>55</v>
      </c>
      <c r="H170" s="42">
        <v>2.992</v>
      </c>
      <c r="I170" s="43">
        <v>3.73</v>
      </c>
      <c r="J170" s="43">
        <v>11.16</v>
      </c>
    </row>
    <row r="171" spans="1:10" ht="39" customHeight="1" x14ac:dyDescent="0.2">
      <c r="A171" s="68" t="s">
        <v>185</v>
      </c>
      <c r="B171" s="40" t="s">
        <v>296</v>
      </c>
      <c r="C171" s="68" t="s">
        <v>40</v>
      </c>
      <c r="D171" s="68" t="s">
        <v>297</v>
      </c>
      <c r="E171" s="106" t="s">
        <v>196</v>
      </c>
      <c r="F171" s="106"/>
      <c r="G171" s="41" t="s">
        <v>228</v>
      </c>
      <c r="H171" s="42">
        <v>0.96399999999999997</v>
      </c>
      <c r="I171" s="43">
        <v>43.04</v>
      </c>
      <c r="J171" s="43">
        <v>41.49</v>
      </c>
    </row>
    <row r="172" spans="1:10" ht="39" customHeight="1" x14ac:dyDescent="0.2">
      <c r="A172" s="68" t="s">
        <v>185</v>
      </c>
      <c r="B172" s="40" t="s">
        <v>298</v>
      </c>
      <c r="C172" s="68" t="s">
        <v>40</v>
      </c>
      <c r="D172" s="68" t="s">
        <v>299</v>
      </c>
      <c r="E172" s="106" t="s">
        <v>196</v>
      </c>
      <c r="F172" s="106"/>
      <c r="G172" s="41" t="s">
        <v>93</v>
      </c>
      <c r="H172" s="42">
        <v>0.39700000000000002</v>
      </c>
      <c r="I172" s="43">
        <v>23.92</v>
      </c>
      <c r="J172" s="43">
        <v>9.49</v>
      </c>
    </row>
    <row r="173" spans="1:10" ht="39" customHeight="1" x14ac:dyDescent="0.2">
      <c r="A173" s="68" t="s">
        <v>185</v>
      </c>
      <c r="B173" s="40" t="s">
        <v>300</v>
      </c>
      <c r="C173" s="68" t="s">
        <v>40</v>
      </c>
      <c r="D173" s="68" t="s">
        <v>301</v>
      </c>
      <c r="E173" s="106" t="s">
        <v>196</v>
      </c>
      <c r="F173" s="106"/>
      <c r="G173" s="41" t="s">
        <v>233</v>
      </c>
      <c r="H173" s="42">
        <v>1</v>
      </c>
      <c r="I173" s="43">
        <v>310.95999999999998</v>
      </c>
      <c r="J173" s="43">
        <v>310.95999999999998</v>
      </c>
    </row>
    <row r="174" spans="1:10" x14ac:dyDescent="0.2">
      <c r="A174" s="63"/>
      <c r="B174" s="63"/>
      <c r="C174" s="63"/>
      <c r="D174" s="63"/>
      <c r="E174" s="63" t="s">
        <v>200</v>
      </c>
      <c r="F174" s="44">
        <v>45.46</v>
      </c>
      <c r="G174" s="63" t="s">
        <v>201</v>
      </c>
      <c r="H174" s="44">
        <v>0</v>
      </c>
      <c r="I174" s="63" t="s">
        <v>202</v>
      </c>
      <c r="J174" s="44">
        <v>45.46</v>
      </c>
    </row>
    <row r="175" spans="1:10" ht="14.25" customHeight="1" x14ac:dyDescent="0.2">
      <c r="A175" s="63"/>
      <c r="B175" s="63"/>
      <c r="C175" s="63"/>
      <c r="D175" s="63"/>
      <c r="E175" s="63" t="s">
        <v>203</v>
      </c>
      <c r="F175" s="44">
        <v>120.71</v>
      </c>
      <c r="G175" s="63"/>
      <c r="H175" s="104" t="s">
        <v>204</v>
      </c>
      <c r="I175" s="104"/>
      <c r="J175" s="44">
        <v>559.04999999999995</v>
      </c>
    </row>
    <row r="176" spans="1:10" ht="50.1" customHeight="1" thickBot="1" x14ac:dyDescent="0.25">
      <c r="A176" s="61"/>
      <c r="B176" s="61"/>
      <c r="C176" s="61"/>
      <c r="D176" s="61"/>
      <c r="E176" s="61"/>
      <c r="F176" s="61"/>
      <c r="G176" s="61" t="s">
        <v>205</v>
      </c>
      <c r="H176" s="45" t="s">
        <v>220</v>
      </c>
      <c r="I176" s="61" t="s">
        <v>207</v>
      </c>
      <c r="J176" s="62">
        <v>559.04999999999995</v>
      </c>
    </row>
    <row r="177" spans="1:10" ht="0.95" customHeight="1" thickTop="1" x14ac:dyDescent="0.2">
      <c r="A177" s="47"/>
      <c r="B177" s="47"/>
      <c r="C177" s="47"/>
      <c r="D177" s="47"/>
      <c r="E177" s="47"/>
      <c r="F177" s="47"/>
      <c r="G177" s="47"/>
      <c r="H177" s="47"/>
      <c r="I177" s="47"/>
      <c r="J177" s="47"/>
    </row>
    <row r="178" spans="1:10" ht="24" customHeight="1" x14ac:dyDescent="0.2">
      <c r="A178" s="64" t="s">
        <v>90</v>
      </c>
      <c r="B178" s="16" t="s">
        <v>31</v>
      </c>
      <c r="C178" s="64" t="s">
        <v>32</v>
      </c>
      <c r="D178" s="64" t="s">
        <v>9</v>
      </c>
      <c r="E178" s="107" t="s">
        <v>179</v>
      </c>
      <c r="F178" s="107"/>
      <c r="G178" s="17" t="s">
        <v>33</v>
      </c>
      <c r="H178" s="16" t="s">
        <v>10</v>
      </c>
      <c r="I178" s="16" t="s">
        <v>34</v>
      </c>
      <c r="J178" s="16" t="s">
        <v>11</v>
      </c>
    </row>
    <row r="179" spans="1:10" ht="18" customHeight="1" x14ac:dyDescent="0.2">
      <c r="A179" s="66" t="s">
        <v>180</v>
      </c>
      <c r="B179" s="24" t="s">
        <v>91</v>
      </c>
      <c r="C179" s="66" t="s">
        <v>40</v>
      </c>
      <c r="D179" s="66" t="s">
        <v>92</v>
      </c>
      <c r="E179" s="108" t="s">
        <v>291</v>
      </c>
      <c r="F179" s="108"/>
      <c r="G179" s="23" t="s">
        <v>93</v>
      </c>
      <c r="H179" s="35">
        <v>1</v>
      </c>
      <c r="I179" s="25">
        <v>1146.9000000000001</v>
      </c>
      <c r="J179" s="25">
        <v>1146.9000000000001</v>
      </c>
    </row>
    <row r="180" spans="1:10" ht="39" customHeight="1" x14ac:dyDescent="0.2">
      <c r="A180" s="67" t="s">
        <v>182</v>
      </c>
      <c r="B180" s="36" t="s">
        <v>302</v>
      </c>
      <c r="C180" s="67" t="s">
        <v>40</v>
      </c>
      <c r="D180" s="67" t="s">
        <v>303</v>
      </c>
      <c r="E180" s="105" t="s">
        <v>291</v>
      </c>
      <c r="F180" s="105"/>
      <c r="G180" s="37" t="s">
        <v>93</v>
      </c>
      <c r="H180" s="38">
        <v>1</v>
      </c>
      <c r="I180" s="39">
        <v>184.58</v>
      </c>
      <c r="J180" s="39">
        <v>184.58</v>
      </c>
    </row>
    <row r="181" spans="1:10" ht="26.1" customHeight="1" x14ac:dyDescent="0.2">
      <c r="A181" s="67" t="s">
        <v>182</v>
      </c>
      <c r="B181" s="36" t="s">
        <v>304</v>
      </c>
      <c r="C181" s="67" t="s">
        <v>40</v>
      </c>
      <c r="D181" s="67" t="s">
        <v>305</v>
      </c>
      <c r="E181" s="105" t="s">
        <v>291</v>
      </c>
      <c r="F181" s="105"/>
      <c r="G181" s="37" t="s">
        <v>55</v>
      </c>
      <c r="H181" s="38">
        <v>10</v>
      </c>
      <c r="I181" s="39">
        <v>12.51</v>
      </c>
      <c r="J181" s="39">
        <v>125.1</v>
      </c>
    </row>
    <row r="182" spans="1:10" ht="24" customHeight="1" x14ac:dyDescent="0.2">
      <c r="A182" s="67" t="s">
        <v>182</v>
      </c>
      <c r="B182" s="36" t="s">
        <v>306</v>
      </c>
      <c r="C182" s="67" t="s">
        <v>40</v>
      </c>
      <c r="D182" s="67" t="s">
        <v>307</v>
      </c>
      <c r="E182" s="105" t="s">
        <v>291</v>
      </c>
      <c r="F182" s="105"/>
      <c r="G182" s="37" t="s">
        <v>93</v>
      </c>
      <c r="H182" s="38">
        <v>1</v>
      </c>
      <c r="I182" s="39">
        <v>417.82</v>
      </c>
      <c r="J182" s="39">
        <v>417.82</v>
      </c>
    </row>
    <row r="183" spans="1:10" ht="26.1" customHeight="1" x14ac:dyDescent="0.2">
      <c r="A183" s="67" t="s">
        <v>182</v>
      </c>
      <c r="B183" s="36" t="s">
        <v>308</v>
      </c>
      <c r="C183" s="67" t="s">
        <v>40</v>
      </c>
      <c r="D183" s="67" t="s">
        <v>309</v>
      </c>
      <c r="E183" s="105" t="s">
        <v>291</v>
      </c>
      <c r="F183" s="105"/>
      <c r="G183" s="37" t="s">
        <v>93</v>
      </c>
      <c r="H183" s="38">
        <v>1</v>
      </c>
      <c r="I183" s="39">
        <v>419.4</v>
      </c>
      <c r="J183" s="39">
        <v>419.4</v>
      </c>
    </row>
    <row r="184" spans="1:10" x14ac:dyDescent="0.2">
      <c r="A184" s="63"/>
      <c r="B184" s="63"/>
      <c r="C184" s="63"/>
      <c r="D184" s="63"/>
      <c r="E184" s="63" t="s">
        <v>200</v>
      </c>
      <c r="F184" s="44">
        <v>190.77</v>
      </c>
      <c r="G184" s="63" t="s">
        <v>201</v>
      </c>
      <c r="H184" s="44">
        <v>0</v>
      </c>
      <c r="I184" s="63" t="s">
        <v>202</v>
      </c>
      <c r="J184" s="44">
        <v>190.77</v>
      </c>
    </row>
    <row r="185" spans="1:10" ht="14.25" customHeight="1" x14ac:dyDescent="0.2">
      <c r="A185" s="63"/>
      <c r="B185" s="63"/>
      <c r="C185" s="63"/>
      <c r="D185" s="63"/>
      <c r="E185" s="63" t="s">
        <v>203</v>
      </c>
      <c r="F185" s="44">
        <v>315.85000000000002</v>
      </c>
      <c r="G185" s="63"/>
      <c r="H185" s="104" t="s">
        <v>204</v>
      </c>
      <c r="I185" s="104"/>
      <c r="J185" s="44">
        <v>1462.75</v>
      </c>
    </row>
    <row r="186" spans="1:10" ht="50.1" customHeight="1" thickBot="1" x14ac:dyDescent="0.25">
      <c r="A186" s="61"/>
      <c r="B186" s="61"/>
      <c r="C186" s="61"/>
      <c r="D186" s="61"/>
      <c r="E186" s="61"/>
      <c r="F186" s="61"/>
      <c r="G186" s="61" t="s">
        <v>205</v>
      </c>
      <c r="H186" s="45" t="s">
        <v>220</v>
      </c>
      <c r="I186" s="61" t="s">
        <v>207</v>
      </c>
      <c r="J186" s="62">
        <v>1462.75</v>
      </c>
    </row>
    <row r="187" spans="1:10" ht="0.95" customHeight="1" thickTop="1" x14ac:dyDescent="0.2">
      <c r="A187" s="47"/>
      <c r="B187" s="47"/>
      <c r="C187" s="47"/>
      <c r="D187" s="47"/>
      <c r="E187" s="47"/>
      <c r="F187" s="47"/>
      <c r="G187" s="47"/>
      <c r="H187" s="47"/>
      <c r="I187" s="47"/>
      <c r="J187" s="47"/>
    </row>
    <row r="188" spans="1:10" ht="18" customHeight="1" x14ac:dyDescent="0.2">
      <c r="A188" s="64" t="s">
        <v>444</v>
      </c>
      <c r="B188" s="16" t="s">
        <v>31</v>
      </c>
      <c r="C188" s="64" t="s">
        <v>32</v>
      </c>
      <c r="D188" s="64" t="s">
        <v>9</v>
      </c>
      <c r="E188" s="107" t="s">
        <v>179</v>
      </c>
      <c r="F188" s="107"/>
      <c r="G188" s="17" t="s">
        <v>33</v>
      </c>
      <c r="H188" s="16" t="s">
        <v>10</v>
      </c>
      <c r="I188" s="16" t="s">
        <v>34</v>
      </c>
      <c r="J188" s="16" t="s">
        <v>11</v>
      </c>
    </row>
    <row r="189" spans="1:10" ht="39" customHeight="1" x14ac:dyDescent="0.2">
      <c r="A189" s="66" t="s">
        <v>180</v>
      </c>
      <c r="B189" s="24" t="s">
        <v>445</v>
      </c>
      <c r="C189" s="66" t="s">
        <v>40</v>
      </c>
      <c r="D189" s="66" t="s">
        <v>446</v>
      </c>
      <c r="E189" s="108" t="s">
        <v>260</v>
      </c>
      <c r="F189" s="108"/>
      <c r="G189" s="23" t="s">
        <v>55</v>
      </c>
      <c r="H189" s="35">
        <v>1</v>
      </c>
      <c r="I189" s="25">
        <v>124.3</v>
      </c>
      <c r="J189" s="25">
        <v>124.3</v>
      </c>
    </row>
    <row r="190" spans="1:10" ht="39" customHeight="1" x14ac:dyDescent="0.2">
      <c r="A190" s="67" t="s">
        <v>182</v>
      </c>
      <c r="B190" s="36" t="s">
        <v>448</v>
      </c>
      <c r="C190" s="67" t="s">
        <v>40</v>
      </c>
      <c r="D190" s="67" t="s">
        <v>449</v>
      </c>
      <c r="E190" s="105" t="s">
        <v>450</v>
      </c>
      <c r="F190" s="105"/>
      <c r="G190" s="37" t="s">
        <v>451</v>
      </c>
      <c r="H190" s="38">
        <v>0.39800000000000002</v>
      </c>
      <c r="I190" s="39">
        <v>20.89</v>
      </c>
      <c r="J190" s="39">
        <v>8.31</v>
      </c>
    </row>
    <row r="191" spans="1:10" ht="39" customHeight="1" x14ac:dyDescent="0.2">
      <c r="A191" s="67" t="s">
        <v>182</v>
      </c>
      <c r="B191" s="36" t="s">
        <v>452</v>
      </c>
      <c r="C191" s="67" t="s">
        <v>40</v>
      </c>
      <c r="D191" s="67" t="s">
        <v>453</v>
      </c>
      <c r="E191" s="105" t="s">
        <v>181</v>
      </c>
      <c r="F191" s="105"/>
      <c r="G191" s="37" t="s">
        <v>454</v>
      </c>
      <c r="H191" s="38">
        <v>6.0000000000000001E-3</v>
      </c>
      <c r="I191" s="39">
        <v>505.37</v>
      </c>
      <c r="J191" s="39">
        <v>3.03</v>
      </c>
    </row>
    <row r="192" spans="1:10" ht="25.5" x14ac:dyDescent="0.2">
      <c r="A192" s="67" t="s">
        <v>182</v>
      </c>
      <c r="B192" s="36" t="s">
        <v>455</v>
      </c>
      <c r="C192" s="67" t="s">
        <v>40</v>
      </c>
      <c r="D192" s="67" t="s">
        <v>456</v>
      </c>
      <c r="E192" s="105" t="s">
        <v>450</v>
      </c>
      <c r="F192" s="105"/>
      <c r="G192" s="37" t="s">
        <v>457</v>
      </c>
      <c r="H192" s="38">
        <v>2.1000000000000001E-2</v>
      </c>
      <c r="I192" s="39">
        <v>22.41</v>
      </c>
      <c r="J192" s="39">
        <v>0.47</v>
      </c>
    </row>
    <row r="193" spans="1:10" ht="14.25" customHeight="1" x14ac:dyDescent="0.2">
      <c r="A193" s="67" t="s">
        <v>182</v>
      </c>
      <c r="B193" s="36" t="s">
        <v>458</v>
      </c>
      <c r="C193" s="67" t="s">
        <v>40</v>
      </c>
      <c r="D193" s="67" t="s">
        <v>459</v>
      </c>
      <c r="E193" s="105" t="s">
        <v>181</v>
      </c>
      <c r="F193" s="105"/>
      <c r="G193" s="37" t="s">
        <v>42</v>
      </c>
      <c r="H193" s="38">
        <v>0.41899999999999998</v>
      </c>
      <c r="I193" s="39">
        <v>24.25</v>
      </c>
      <c r="J193" s="39">
        <v>10.16</v>
      </c>
    </row>
    <row r="194" spans="1:10" ht="50.1" customHeight="1" x14ac:dyDescent="0.2">
      <c r="A194" s="67" t="s">
        <v>182</v>
      </c>
      <c r="B194" s="36" t="s">
        <v>222</v>
      </c>
      <c r="C194" s="67" t="s">
        <v>40</v>
      </c>
      <c r="D194" s="67" t="s">
        <v>223</v>
      </c>
      <c r="E194" s="105" t="s">
        <v>181</v>
      </c>
      <c r="F194" s="105"/>
      <c r="G194" s="37" t="s">
        <v>42</v>
      </c>
      <c r="H194" s="38">
        <v>0.20899999999999999</v>
      </c>
      <c r="I194" s="39">
        <v>19.649999999999999</v>
      </c>
      <c r="J194" s="39">
        <v>4.0999999999999996</v>
      </c>
    </row>
    <row r="195" spans="1:10" ht="0.95" customHeight="1" x14ac:dyDescent="0.2">
      <c r="A195" s="68" t="s">
        <v>185</v>
      </c>
      <c r="B195" s="40" t="s">
        <v>460</v>
      </c>
      <c r="C195" s="68" t="s">
        <v>40</v>
      </c>
      <c r="D195" s="68" t="s">
        <v>461</v>
      </c>
      <c r="E195" s="106" t="s">
        <v>196</v>
      </c>
      <c r="F195" s="106"/>
      <c r="G195" s="41" t="s">
        <v>55</v>
      </c>
      <c r="H195" s="42">
        <v>1.04</v>
      </c>
      <c r="I195" s="43">
        <v>94.46</v>
      </c>
      <c r="J195" s="43">
        <v>98.23</v>
      </c>
    </row>
    <row r="196" spans="1:10" ht="18" customHeight="1" x14ac:dyDescent="0.2">
      <c r="A196" s="63"/>
      <c r="B196" s="63"/>
      <c r="C196" s="63"/>
      <c r="D196" s="63"/>
      <c r="E196" s="63" t="s">
        <v>200</v>
      </c>
      <c r="F196" s="44">
        <v>17.3</v>
      </c>
      <c r="G196" s="63" t="s">
        <v>201</v>
      </c>
      <c r="H196" s="44">
        <v>0</v>
      </c>
      <c r="I196" s="63" t="s">
        <v>202</v>
      </c>
      <c r="J196" s="44">
        <v>17.3</v>
      </c>
    </row>
    <row r="197" spans="1:10" ht="26.1" customHeight="1" x14ac:dyDescent="0.2">
      <c r="A197" s="63"/>
      <c r="B197" s="63"/>
      <c r="C197" s="63"/>
      <c r="D197" s="63"/>
      <c r="E197" s="63" t="s">
        <v>203</v>
      </c>
      <c r="F197" s="44">
        <v>34.229999999999997</v>
      </c>
      <c r="G197" s="63"/>
      <c r="H197" s="104" t="s">
        <v>204</v>
      </c>
      <c r="I197" s="104"/>
      <c r="J197" s="44">
        <v>158.53</v>
      </c>
    </row>
    <row r="198" spans="1:10" ht="26.1" customHeight="1" thickBot="1" x14ac:dyDescent="0.25">
      <c r="A198" s="61"/>
      <c r="B198" s="61"/>
      <c r="C198" s="61"/>
      <c r="D198" s="61"/>
      <c r="E198" s="61"/>
      <c r="F198" s="61"/>
      <c r="G198" s="61" t="s">
        <v>205</v>
      </c>
      <c r="H198" s="45" t="s">
        <v>462</v>
      </c>
      <c r="I198" s="61" t="s">
        <v>207</v>
      </c>
      <c r="J198" s="62">
        <v>126.82</v>
      </c>
    </row>
    <row r="199" spans="1:10" ht="24" customHeight="1" thickTop="1" x14ac:dyDescent="0.2">
      <c r="A199" s="47"/>
      <c r="B199" s="47"/>
      <c r="C199" s="47"/>
      <c r="D199" s="47"/>
      <c r="E199" s="47"/>
      <c r="F199" s="47"/>
      <c r="G199" s="47"/>
      <c r="H199" s="47"/>
      <c r="I199" s="47"/>
      <c r="J199" s="47"/>
    </row>
    <row r="200" spans="1:10" ht="26.1" customHeight="1" x14ac:dyDescent="0.2">
      <c r="A200" s="65" t="s">
        <v>21</v>
      </c>
      <c r="B200" s="65"/>
      <c r="C200" s="65"/>
      <c r="D200" s="65" t="s">
        <v>22</v>
      </c>
      <c r="E200" s="65"/>
      <c r="F200" s="109"/>
      <c r="G200" s="109"/>
      <c r="H200" s="20"/>
      <c r="I200" s="65"/>
      <c r="J200" s="21">
        <v>1638.51</v>
      </c>
    </row>
    <row r="201" spans="1:10" ht="51.95" customHeight="1" x14ac:dyDescent="0.2">
      <c r="A201" s="64" t="s">
        <v>94</v>
      </c>
      <c r="B201" s="16" t="s">
        <v>31</v>
      </c>
      <c r="C201" s="64" t="s">
        <v>32</v>
      </c>
      <c r="D201" s="64" t="s">
        <v>9</v>
      </c>
      <c r="E201" s="107" t="s">
        <v>179</v>
      </c>
      <c r="F201" s="107"/>
      <c r="G201" s="17" t="s">
        <v>33</v>
      </c>
      <c r="H201" s="16" t="s">
        <v>10</v>
      </c>
      <c r="I201" s="16" t="s">
        <v>34</v>
      </c>
      <c r="J201" s="16" t="s">
        <v>11</v>
      </c>
    </row>
    <row r="202" spans="1:10" ht="38.25" x14ac:dyDescent="0.2">
      <c r="A202" s="66" t="s">
        <v>180</v>
      </c>
      <c r="B202" s="24" t="s">
        <v>95</v>
      </c>
      <c r="C202" s="66" t="s">
        <v>49</v>
      </c>
      <c r="D202" s="66" t="s">
        <v>96</v>
      </c>
      <c r="E202" s="108" t="s">
        <v>310</v>
      </c>
      <c r="F202" s="108"/>
      <c r="G202" s="23" t="s">
        <v>93</v>
      </c>
      <c r="H202" s="35">
        <v>1</v>
      </c>
      <c r="I202" s="25">
        <v>32.15</v>
      </c>
      <c r="J202" s="25">
        <v>32.15</v>
      </c>
    </row>
    <row r="203" spans="1:10" ht="14.25" customHeight="1" x14ac:dyDescent="0.2">
      <c r="A203" s="67" t="s">
        <v>182</v>
      </c>
      <c r="B203" s="36" t="s">
        <v>311</v>
      </c>
      <c r="C203" s="67" t="s">
        <v>40</v>
      </c>
      <c r="D203" s="67" t="s">
        <v>312</v>
      </c>
      <c r="E203" s="105" t="s">
        <v>181</v>
      </c>
      <c r="F203" s="105"/>
      <c r="G203" s="37" t="s">
        <v>42</v>
      </c>
      <c r="H203" s="38">
        <v>0.41</v>
      </c>
      <c r="I203" s="39">
        <v>21.1</v>
      </c>
      <c r="J203" s="39">
        <v>8.65</v>
      </c>
    </row>
    <row r="204" spans="1:10" ht="50.1" customHeight="1" x14ac:dyDescent="0.2">
      <c r="A204" s="67" t="s">
        <v>182</v>
      </c>
      <c r="B204" s="36" t="s">
        <v>313</v>
      </c>
      <c r="C204" s="67" t="s">
        <v>40</v>
      </c>
      <c r="D204" s="67" t="s">
        <v>314</v>
      </c>
      <c r="E204" s="105" t="s">
        <v>181</v>
      </c>
      <c r="F204" s="105"/>
      <c r="G204" s="37" t="s">
        <v>42</v>
      </c>
      <c r="H204" s="38">
        <v>0.41</v>
      </c>
      <c r="I204" s="39">
        <v>25.31</v>
      </c>
      <c r="J204" s="39">
        <v>10.37</v>
      </c>
    </row>
    <row r="205" spans="1:10" ht="0.95" customHeight="1" x14ac:dyDescent="0.2">
      <c r="A205" s="68" t="s">
        <v>185</v>
      </c>
      <c r="B205" s="40" t="s">
        <v>315</v>
      </c>
      <c r="C205" s="68" t="s">
        <v>40</v>
      </c>
      <c r="D205" s="68" t="s">
        <v>316</v>
      </c>
      <c r="E205" s="106" t="s">
        <v>196</v>
      </c>
      <c r="F205" s="106"/>
      <c r="G205" s="41" t="s">
        <v>93</v>
      </c>
      <c r="H205" s="42">
        <v>1</v>
      </c>
      <c r="I205" s="43">
        <v>13.13</v>
      </c>
      <c r="J205" s="43">
        <v>13.13</v>
      </c>
    </row>
    <row r="206" spans="1:10" ht="18" customHeight="1" x14ac:dyDescent="0.2">
      <c r="A206" s="63"/>
      <c r="B206" s="63"/>
      <c r="C206" s="63"/>
      <c r="D206" s="63"/>
      <c r="E206" s="63" t="s">
        <v>200</v>
      </c>
      <c r="F206" s="44">
        <v>13.89</v>
      </c>
      <c r="G206" s="63" t="s">
        <v>201</v>
      </c>
      <c r="H206" s="44">
        <v>0</v>
      </c>
      <c r="I206" s="63" t="s">
        <v>202</v>
      </c>
      <c r="J206" s="44">
        <v>13.89</v>
      </c>
    </row>
    <row r="207" spans="1:10" ht="39" customHeight="1" x14ac:dyDescent="0.2">
      <c r="A207" s="63"/>
      <c r="B207" s="63"/>
      <c r="C207" s="63"/>
      <c r="D207" s="63"/>
      <c r="E207" s="63" t="s">
        <v>203</v>
      </c>
      <c r="F207" s="44">
        <v>8.85</v>
      </c>
      <c r="G207" s="63"/>
      <c r="H207" s="104" t="s">
        <v>204</v>
      </c>
      <c r="I207" s="104"/>
      <c r="J207" s="44">
        <v>41</v>
      </c>
    </row>
    <row r="208" spans="1:10" ht="24" customHeight="1" thickBot="1" x14ac:dyDescent="0.25">
      <c r="A208" s="61"/>
      <c r="B208" s="61"/>
      <c r="C208" s="61"/>
      <c r="D208" s="61"/>
      <c r="E208" s="61"/>
      <c r="F208" s="61"/>
      <c r="G208" s="61" t="s">
        <v>205</v>
      </c>
      <c r="H208" s="45" t="s">
        <v>317</v>
      </c>
      <c r="I208" s="61" t="s">
        <v>207</v>
      </c>
      <c r="J208" s="62">
        <v>287</v>
      </c>
    </row>
    <row r="209" spans="1:10" ht="26.1" customHeight="1" thickTop="1" x14ac:dyDescent="0.2">
      <c r="A209" s="47"/>
      <c r="B209" s="47"/>
      <c r="C209" s="47"/>
      <c r="D209" s="47"/>
      <c r="E209" s="47"/>
      <c r="F209" s="47"/>
      <c r="G209" s="47"/>
      <c r="H209" s="47"/>
      <c r="I209" s="47"/>
      <c r="J209" s="47"/>
    </row>
    <row r="210" spans="1:10" ht="26.1" customHeight="1" x14ac:dyDescent="0.2">
      <c r="A210" s="64" t="s">
        <v>97</v>
      </c>
      <c r="B210" s="16" t="s">
        <v>31</v>
      </c>
      <c r="C210" s="64" t="s">
        <v>32</v>
      </c>
      <c r="D210" s="64" t="s">
        <v>9</v>
      </c>
      <c r="E210" s="107" t="s">
        <v>179</v>
      </c>
      <c r="F210" s="107"/>
      <c r="G210" s="17" t="s">
        <v>33</v>
      </c>
      <c r="H210" s="16" t="s">
        <v>10</v>
      </c>
      <c r="I210" s="16" t="s">
        <v>34</v>
      </c>
      <c r="J210" s="16" t="s">
        <v>11</v>
      </c>
    </row>
    <row r="211" spans="1:10" ht="25.5" x14ac:dyDescent="0.2">
      <c r="A211" s="66" t="s">
        <v>180</v>
      </c>
      <c r="B211" s="24" t="s">
        <v>98</v>
      </c>
      <c r="C211" s="66" t="s">
        <v>40</v>
      </c>
      <c r="D211" s="66" t="s">
        <v>99</v>
      </c>
      <c r="E211" s="108" t="s">
        <v>310</v>
      </c>
      <c r="F211" s="108"/>
      <c r="G211" s="23" t="s">
        <v>93</v>
      </c>
      <c r="H211" s="35">
        <v>1</v>
      </c>
      <c r="I211" s="25">
        <v>27.27</v>
      </c>
      <c r="J211" s="25">
        <v>27.27</v>
      </c>
    </row>
    <row r="212" spans="1:10" ht="14.25" customHeight="1" x14ac:dyDescent="0.2">
      <c r="A212" s="67" t="s">
        <v>182</v>
      </c>
      <c r="B212" s="36" t="s">
        <v>318</v>
      </c>
      <c r="C212" s="67" t="s">
        <v>40</v>
      </c>
      <c r="D212" s="67" t="s">
        <v>319</v>
      </c>
      <c r="E212" s="105" t="s">
        <v>310</v>
      </c>
      <c r="F212" s="105"/>
      <c r="G212" s="37" t="s">
        <v>93</v>
      </c>
      <c r="H212" s="38">
        <v>1</v>
      </c>
      <c r="I212" s="39">
        <v>17.2</v>
      </c>
      <c r="J212" s="39">
        <v>17.2</v>
      </c>
    </row>
    <row r="213" spans="1:10" ht="50.1" customHeight="1" x14ac:dyDescent="0.2">
      <c r="A213" s="67" t="s">
        <v>182</v>
      </c>
      <c r="B213" s="36" t="s">
        <v>320</v>
      </c>
      <c r="C213" s="67" t="s">
        <v>40</v>
      </c>
      <c r="D213" s="67" t="s">
        <v>321</v>
      </c>
      <c r="E213" s="105" t="s">
        <v>310</v>
      </c>
      <c r="F213" s="105"/>
      <c r="G213" s="37" t="s">
        <v>93</v>
      </c>
      <c r="H213" s="38">
        <v>1</v>
      </c>
      <c r="I213" s="39">
        <v>10.07</v>
      </c>
      <c r="J213" s="39">
        <v>10.07</v>
      </c>
    </row>
    <row r="214" spans="1:10" ht="0.95" customHeight="1" x14ac:dyDescent="0.2">
      <c r="A214" s="63"/>
      <c r="B214" s="63"/>
      <c r="C214" s="63"/>
      <c r="D214" s="63"/>
      <c r="E214" s="63" t="s">
        <v>200</v>
      </c>
      <c r="F214" s="44">
        <v>12.17</v>
      </c>
      <c r="G214" s="63" t="s">
        <v>201</v>
      </c>
      <c r="H214" s="44">
        <v>0</v>
      </c>
      <c r="I214" s="63" t="s">
        <v>202</v>
      </c>
      <c r="J214" s="44">
        <v>12.17</v>
      </c>
    </row>
    <row r="215" spans="1:10" ht="18" customHeight="1" x14ac:dyDescent="0.2">
      <c r="A215" s="63"/>
      <c r="B215" s="63"/>
      <c r="C215" s="63"/>
      <c r="D215" s="63"/>
      <c r="E215" s="63" t="s">
        <v>203</v>
      </c>
      <c r="F215" s="44">
        <v>7.51</v>
      </c>
      <c r="G215" s="63"/>
      <c r="H215" s="104" t="s">
        <v>204</v>
      </c>
      <c r="I215" s="104"/>
      <c r="J215" s="44">
        <v>34.78</v>
      </c>
    </row>
    <row r="216" spans="1:10" ht="39" customHeight="1" thickBot="1" x14ac:dyDescent="0.25">
      <c r="A216" s="61"/>
      <c r="B216" s="61"/>
      <c r="C216" s="61"/>
      <c r="D216" s="61"/>
      <c r="E216" s="61"/>
      <c r="F216" s="61"/>
      <c r="G216" s="61" t="s">
        <v>205</v>
      </c>
      <c r="H216" s="45" t="s">
        <v>220</v>
      </c>
      <c r="I216" s="61" t="s">
        <v>207</v>
      </c>
      <c r="J216" s="62">
        <v>34.78</v>
      </c>
    </row>
    <row r="217" spans="1:10" ht="24" customHeight="1" thickTop="1" x14ac:dyDescent="0.2">
      <c r="A217" s="47"/>
      <c r="B217" s="47"/>
      <c r="C217" s="47"/>
      <c r="D217" s="47"/>
      <c r="E217" s="47"/>
      <c r="F217" s="47"/>
      <c r="G217" s="47"/>
      <c r="H217" s="47"/>
      <c r="I217" s="47"/>
      <c r="J217" s="47"/>
    </row>
    <row r="218" spans="1:10" ht="26.1" customHeight="1" x14ac:dyDescent="0.2">
      <c r="A218" s="64" t="s">
        <v>100</v>
      </c>
      <c r="B218" s="16" t="s">
        <v>31</v>
      </c>
      <c r="C218" s="64" t="s">
        <v>32</v>
      </c>
      <c r="D218" s="64" t="s">
        <v>9</v>
      </c>
      <c r="E218" s="107" t="s">
        <v>179</v>
      </c>
      <c r="F218" s="107"/>
      <c r="G218" s="17" t="s">
        <v>33</v>
      </c>
      <c r="H218" s="16" t="s">
        <v>10</v>
      </c>
      <c r="I218" s="16" t="s">
        <v>34</v>
      </c>
      <c r="J218" s="16" t="s">
        <v>11</v>
      </c>
    </row>
    <row r="219" spans="1:10" ht="65.099999999999994" customHeight="1" x14ac:dyDescent="0.2">
      <c r="A219" s="66" t="s">
        <v>180</v>
      </c>
      <c r="B219" s="24" t="s">
        <v>101</v>
      </c>
      <c r="C219" s="66" t="s">
        <v>49</v>
      </c>
      <c r="D219" s="66" t="s">
        <v>102</v>
      </c>
      <c r="E219" s="108" t="s">
        <v>310</v>
      </c>
      <c r="F219" s="108"/>
      <c r="G219" s="23" t="s">
        <v>93</v>
      </c>
      <c r="H219" s="35">
        <v>1</v>
      </c>
      <c r="I219" s="25">
        <v>102.16</v>
      </c>
      <c r="J219" s="25">
        <v>102.16</v>
      </c>
    </row>
    <row r="220" spans="1:10" ht="26.1" customHeight="1" x14ac:dyDescent="0.2">
      <c r="A220" s="67" t="s">
        <v>182</v>
      </c>
      <c r="B220" s="36" t="s">
        <v>311</v>
      </c>
      <c r="C220" s="67" t="s">
        <v>40</v>
      </c>
      <c r="D220" s="67" t="s">
        <v>312</v>
      </c>
      <c r="E220" s="105" t="s">
        <v>181</v>
      </c>
      <c r="F220" s="105"/>
      <c r="G220" s="37" t="s">
        <v>42</v>
      </c>
      <c r="H220" s="38">
        <v>0.5</v>
      </c>
      <c r="I220" s="39">
        <v>21.1</v>
      </c>
      <c r="J220" s="39">
        <v>10.55</v>
      </c>
    </row>
    <row r="221" spans="1:10" ht="25.5" x14ac:dyDescent="0.2">
      <c r="A221" s="67" t="s">
        <v>182</v>
      </c>
      <c r="B221" s="36" t="s">
        <v>313</v>
      </c>
      <c r="C221" s="67" t="s">
        <v>40</v>
      </c>
      <c r="D221" s="67" t="s">
        <v>314</v>
      </c>
      <c r="E221" s="105" t="s">
        <v>181</v>
      </c>
      <c r="F221" s="105"/>
      <c r="G221" s="37" t="s">
        <v>42</v>
      </c>
      <c r="H221" s="38">
        <v>0.5</v>
      </c>
      <c r="I221" s="39">
        <v>25.31</v>
      </c>
      <c r="J221" s="39">
        <v>12.65</v>
      </c>
    </row>
    <row r="222" spans="1:10" ht="14.25" customHeight="1" x14ac:dyDescent="0.2">
      <c r="A222" s="68" t="s">
        <v>185</v>
      </c>
      <c r="B222" s="40" t="s">
        <v>322</v>
      </c>
      <c r="C222" s="68" t="s">
        <v>40</v>
      </c>
      <c r="D222" s="68" t="s">
        <v>323</v>
      </c>
      <c r="E222" s="106" t="s">
        <v>196</v>
      </c>
      <c r="F222" s="106"/>
      <c r="G222" s="41" t="s">
        <v>93</v>
      </c>
      <c r="H222" s="42">
        <v>0.02</v>
      </c>
      <c r="I222" s="43">
        <v>4.8899999999999997</v>
      </c>
      <c r="J222" s="43">
        <v>0.09</v>
      </c>
    </row>
    <row r="223" spans="1:10" ht="50.1" customHeight="1" x14ac:dyDescent="0.2">
      <c r="A223" s="68" t="s">
        <v>185</v>
      </c>
      <c r="B223" s="40" t="s">
        <v>324</v>
      </c>
      <c r="C223" s="68" t="s">
        <v>40</v>
      </c>
      <c r="D223" s="68" t="s">
        <v>325</v>
      </c>
      <c r="E223" s="106" t="s">
        <v>196</v>
      </c>
      <c r="F223" s="106"/>
      <c r="G223" s="41" t="s">
        <v>93</v>
      </c>
      <c r="H223" s="42">
        <v>1</v>
      </c>
      <c r="I223" s="43">
        <v>78.87</v>
      </c>
      <c r="J223" s="43">
        <v>78.87</v>
      </c>
    </row>
    <row r="224" spans="1:10" ht="0.95" customHeight="1" x14ac:dyDescent="0.2">
      <c r="A224" s="63"/>
      <c r="B224" s="63"/>
      <c r="C224" s="63"/>
      <c r="D224" s="63"/>
      <c r="E224" s="63" t="s">
        <v>200</v>
      </c>
      <c r="F224" s="44">
        <v>16.940000000000001</v>
      </c>
      <c r="G224" s="63" t="s">
        <v>201</v>
      </c>
      <c r="H224" s="44">
        <v>0</v>
      </c>
      <c r="I224" s="63" t="s">
        <v>202</v>
      </c>
      <c r="J224" s="44">
        <v>16.940000000000001</v>
      </c>
    </row>
    <row r="225" spans="1:10" ht="18" customHeight="1" x14ac:dyDescent="0.2">
      <c r="A225" s="63"/>
      <c r="B225" s="63"/>
      <c r="C225" s="63"/>
      <c r="D225" s="63"/>
      <c r="E225" s="63" t="s">
        <v>203</v>
      </c>
      <c r="F225" s="44">
        <v>28.13</v>
      </c>
      <c r="G225" s="63"/>
      <c r="H225" s="104" t="s">
        <v>204</v>
      </c>
      <c r="I225" s="104"/>
      <c r="J225" s="44">
        <v>130.29</v>
      </c>
    </row>
    <row r="226" spans="1:10" ht="39" customHeight="1" thickBot="1" x14ac:dyDescent="0.25">
      <c r="A226" s="61"/>
      <c r="B226" s="61"/>
      <c r="C226" s="61"/>
      <c r="D226" s="61"/>
      <c r="E226" s="61"/>
      <c r="F226" s="61"/>
      <c r="G226" s="61" t="s">
        <v>205</v>
      </c>
      <c r="H226" s="45" t="s">
        <v>326</v>
      </c>
      <c r="I226" s="61" t="s">
        <v>207</v>
      </c>
      <c r="J226" s="62">
        <v>390.87</v>
      </c>
    </row>
    <row r="227" spans="1:10" ht="39" customHeight="1" thickTop="1" x14ac:dyDescent="0.2">
      <c r="A227" s="47"/>
      <c r="B227" s="47"/>
      <c r="C227" s="47"/>
      <c r="D227" s="47"/>
      <c r="E227" s="47"/>
      <c r="F227" s="47"/>
      <c r="G227" s="47"/>
      <c r="H227" s="47"/>
      <c r="I227" s="47"/>
      <c r="J227" s="47"/>
    </row>
    <row r="228" spans="1:10" ht="39" customHeight="1" x14ac:dyDescent="0.2">
      <c r="A228" s="64" t="s">
        <v>103</v>
      </c>
      <c r="B228" s="16" t="s">
        <v>31</v>
      </c>
      <c r="C228" s="64" t="s">
        <v>32</v>
      </c>
      <c r="D228" s="64" t="s">
        <v>9</v>
      </c>
      <c r="E228" s="107" t="s">
        <v>179</v>
      </c>
      <c r="F228" s="107"/>
      <c r="G228" s="17" t="s">
        <v>33</v>
      </c>
      <c r="H228" s="16" t="s">
        <v>10</v>
      </c>
      <c r="I228" s="16" t="s">
        <v>34</v>
      </c>
      <c r="J228" s="16" t="s">
        <v>11</v>
      </c>
    </row>
    <row r="229" spans="1:10" ht="38.25" x14ac:dyDescent="0.2">
      <c r="A229" s="66" t="s">
        <v>180</v>
      </c>
      <c r="B229" s="24" t="s">
        <v>104</v>
      </c>
      <c r="C229" s="66" t="s">
        <v>40</v>
      </c>
      <c r="D229" s="66" t="s">
        <v>105</v>
      </c>
      <c r="E229" s="108" t="s">
        <v>310</v>
      </c>
      <c r="F229" s="108"/>
      <c r="G229" s="23" t="s">
        <v>55</v>
      </c>
      <c r="H229" s="35">
        <v>1</v>
      </c>
      <c r="I229" s="25">
        <v>13.25</v>
      </c>
      <c r="J229" s="25">
        <v>13.25</v>
      </c>
    </row>
    <row r="230" spans="1:10" ht="14.25" customHeight="1" x14ac:dyDescent="0.2">
      <c r="A230" s="67" t="s">
        <v>182</v>
      </c>
      <c r="B230" s="36" t="s">
        <v>313</v>
      </c>
      <c r="C230" s="67" t="s">
        <v>40</v>
      </c>
      <c r="D230" s="67" t="s">
        <v>314</v>
      </c>
      <c r="E230" s="105" t="s">
        <v>181</v>
      </c>
      <c r="F230" s="105"/>
      <c r="G230" s="37" t="s">
        <v>42</v>
      </c>
      <c r="H230" s="38">
        <v>0.17699999999999999</v>
      </c>
      <c r="I230" s="39">
        <v>25.31</v>
      </c>
      <c r="J230" s="39">
        <v>4.47</v>
      </c>
    </row>
    <row r="231" spans="1:10" ht="50.1" customHeight="1" x14ac:dyDescent="0.2">
      <c r="A231" s="67" t="s">
        <v>182</v>
      </c>
      <c r="B231" s="36" t="s">
        <v>311</v>
      </c>
      <c r="C231" s="67" t="s">
        <v>40</v>
      </c>
      <c r="D231" s="67" t="s">
        <v>312</v>
      </c>
      <c r="E231" s="105" t="s">
        <v>181</v>
      </c>
      <c r="F231" s="105"/>
      <c r="G231" s="37" t="s">
        <v>42</v>
      </c>
      <c r="H231" s="38">
        <v>0.17699999999999999</v>
      </c>
      <c r="I231" s="39">
        <v>21.1</v>
      </c>
      <c r="J231" s="39">
        <v>3.73</v>
      </c>
    </row>
    <row r="232" spans="1:10" ht="0.95" customHeight="1" x14ac:dyDescent="0.2">
      <c r="A232" s="68" t="s">
        <v>185</v>
      </c>
      <c r="B232" s="40" t="s">
        <v>327</v>
      </c>
      <c r="C232" s="68" t="s">
        <v>40</v>
      </c>
      <c r="D232" s="68" t="s">
        <v>328</v>
      </c>
      <c r="E232" s="106" t="s">
        <v>196</v>
      </c>
      <c r="F232" s="106"/>
      <c r="G232" s="41" t="s">
        <v>55</v>
      </c>
      <c r="H232" s="42">
        <v>1.0169999999999999</v>
      </c>
      <c r="I232" s="43">
        <v>4.97</v>
      </c>
      <c r="J232" s="43">
        <v>5.05</v>
      </c>
    </row>
    <row r="233" spans="1:10" ht="18" customHeight="1" x14ac:dyDescent="0.2">
      <c r="A233" s="63"/>
      <c r="B233" s="63"/>
      <c r="C233" s="63"/>
      <c r="D233" s="63"/>
      <c r="E233" s="63" t="s">
        <v>200</v>
      </c>
      <c r="F233" s="44">
        <v>5.99</v>
      </c>
      <c r="G233" s="63" t="s">
        <v>201</v>
      </c>
      <c r="H233" s="44">
        <v>0</v>
      </c>
      <c r="I233" s="63" t="s">
        <v>202</v>
      </c>
      <c r="J233" s="44">
        <v>5.99</v>
      </c>
    </row>
    <row r="234" spans="1:10" ht="26.1" customHeight="1" x14ac:dyDescent="0.2">
      <c r="A234" s="63"/>
      <c r="B234" s="63"/>
      <c r="C234" s="63"/>
      <c r="D234" s="63"/>
      <c r="E234" s="63" t="s">
        <v>203</v>
      </c>
      <c r="F234" s="44">
        <v>3.64</v>
      </c>
      <c r="G234" s="63"/>
      <c r="H234" s="104" t="s">
        <v>204</v>
      </c>
      <c r="I234" s="104"/>
      <c r="J234" s="44">
        <v>16.89</v>
      </c>
    </row>
    <row r="235" spans="1:10" ht="26.1" customHeight="1" thickBot="1" x14ac:dyDescent="0.25">
      <c r="A235" s="61"/>
      <c r="B235" s="61"/>
      <c r="C235" s="61"/>
      <c r="D235" s="61"/>
      <c r="E235" s="61"/>
      <c r="F235" s="61"/>
      <c r="G235" s="61" t="s">
        <v>205</v>
      </c>
      <c r="H235" s="45" t="s">
        <v>329</v>
      </c>
      <c r="I235" s="61" t="s">
        <v>207</v>
      </c>
      <c r="J235" s="62">
        <v>100.32</v>
      </c>
    </row>
    <row r="236" spans="1:10" ht="24" customHeight="1" thickTop="1" x14ac:dyDescent="0.2">
      <c r="A236" s="47"/>
      <c r="B236" s="47"/>
      <c r="C236" s="47"/>
      <c r="D236" s="47"/>
      <c r="E236" s="47"/>
      <c r="F236" s="47"/>
      <c r="G236" s="47"/>
      <c r="H236" s="47"/>
      <c r="I236" s="47"/>
      <c r="J236" s="47"/>
    </row>
    <row r="237" spans="1:10" ht="26.1" customHeight="1" x14ac:dyDescent="0.2">
      <c r="A237" s="64" t="s">
        <v>106</v>
      </c>
      <c r="B237" s="16" t="s">
        <v>31</v>
      </c>
      <c r="C237" s="64" t="s">
        <v>32</v>
      </c>
      <c r="D237" s="64" t="s">
        <v>9</v>
      </c>
      <c r="E237" s="107" t="s">
        <v>179</v>
      </c>
      <c r="F237" s="107"/>
      <c r="G237" s="17" t="s">
        <v>33</v>
      </c>
      <c r="H237" s="16" t="s">
        <v>10</v>
      </c>
      <c r="I237" s="16" t="s">
        <v>34</v>
      </c>
      <c r="J237" s="16" t="s">
        <v>11</v>
      </c>
    </row>
    <row r="238" spans="1:10" ht="38.25" x14ac:dyDescent="0.2">
      <c r="A238" s="66" t="s">
        <v>180</v>
      </c>
      <c r="B238" s="24" t="s">
        <v>107</v>
      </c>
      <c r="C238" s="66" t="s">
        <v>40</v>
      </c>
      <c r="D238" s="66" t="s">
        <v>108</v>
      </c>
      <c r="E238" s="108" t="s">
        <v>310</v>
      </c>
      <c r="F238" s="108"/>
      <c r="G238" s="23" t="s">
        <v>55</v>
      </c>
      <c r="H238" s="35">
        <v>1</v>
      </c>
      <c r="I238" s="25">
        <v>16.84</v>
      </c>
      <c r="J238" s="25">
        <v>16.84</v>
      </c>
    </row>
    <row r="239" spans="1:10" ht="14.25" customHeight="1" x14ac:dyDescent="0.2">
      <c r="A239" s="67" t="s">
        <v>182</v>
      </c>
      <c r="B239" s="36" t="s">
        <v>313</v>
      </c>
      <c r="C239" s="67" t="s">
        <v>40</v>
      </c>
      <c r="D239" s="67" t="s">
        <v>314</v>
      </c>
      <c r="E239" s="105" t="s">
        <v>181</v>
      </c>
      <c r="F239" s="105"/>
      <c r="G239" s="37" t="s">
        <v>42</v>
      </c>
      <c r="H239" s="38">
        <v>9.0999999999999998E-2</v>
      </c>
      <c r="I239" s="39">
        <v>25.31</v>
      </c>
      <c r="J239" s="39">
        <v>2.2999999999999998</v>
      </c>
    </row>
    <row r="240" spans="1:10" ht="50.1" customHeight="1" x14ac:dyDescent="0.2">
      <c r="A240" s="67" t="s">
        <v>182</v>
      </c>
      <c r="B240" s="36" t="s">
        <v>311</v>
      </c>
      <c r="C240" s="67" t="s">
        <v>40</v>
      </c>
      <c r="D240" s="67" t="s">
        <v>312</v>
      </c>
      <c r="E240" s="105" t="s">
        <v>181</v>
      </c>
      <c r="F240" s="105"/>
      <c r="G240" s="37" t="s">
        <v>42</v>
      </c>
      <c r="H240" s="38">
        <v>9.0999999999999998E-2</v>
      </c>
      <c r="I240" s="39">
        <v>21.1</v>
      </c>
      <c r="J240" s="39">
        <v>1.92</v>
      </c>
    </row>
    <row r="241" spans="1:10" ht="0.95" customHeight="1" x14ac:dyDescent="0.2">
      <c r="A241" s="67" t="s">
        <v>182</v>
      </c>
      <c r="B241" s="36" t="s">
        <v>330</v>
      </c>
      <c r="C241" s="67" t="s">
        <v>40</v>
      </c>
      <c r="D241" s="67" t="s">
        <v>331</v>
      </c>
      <c r="E241" s="105" t="s">
        <v>332</v>
      </c>
      <c r="F241" s="105"/>
      <c r="G241" s="37" t="s">
        <v>55</v>
      </c>
      <c r="H241" s="38">
        <v>1</v>
      </c>
      <c r="I241" s="39">
        <v>9.75</v>
      </c>
      <c r="J241" s="39">
        <v>9.75</v>
      </c>
    </row>
    <row r="242" spans="1:10" ht="18" customHeight="1" x14ac:dyDescent="0.2">
      <c r="A242" s="68" t="s">
        <v>185</v>
      </c>
      <c r="B242" s="40" t="s">
        <v>333</v>
      </c>
      <c r="C242" s="68" t="s">
        <v>40</v>
      </c>
      <c r="D242" s="68" t="s">
        <v>334</v>
      </c>
      <c r="E242" s="106" t="s">
        <v>196</v>
      </c>
      <c r="F242" s="106"/>
      <c r="G242" s="41" t="s">
        <v>55</v>
      </c>
      <c r="H242" s="42">
        <v>1.1000000000000001</v>
      </c>
      <c r="I242" s="43">
        <v>2.61</v>
      </c>
      <c r="J242" s="43">
        <v>2.87</v>
      </c>
    </row>
    <row r="243" spans="1:10" ht="39" customHeight="1" x14ac:dyDescent="0.2">
      <c r="A243" s="63"/>
      <c r="B243" s="63"/>
      <c r="C243" s="63"/>
      <c r="D243" s="63"/>
      <c r="E243" s="63" t="s">
        <v>200</v>
      </c>
      <c r="F243" s="44">
        <v>7.72</v>
      </c>
      <c r="G243" s="63" t="s">
        <v>201</v>
      </c>
      <c r="H243" s="44">
        <v>0</v>
      </c>
      <c r="I243" s="63" t="s">
        <v>202</v>
      </c>
      <c r="J243" s="44">
        <v>7.72</v>
      </c>
    </row>
    <row r="244" spans="1:10" ht="26.1" customHeight="1" x14ac:dyDescent="0.2">
      <c r="A244" s="63"/>
      <c r="B244" s="63"/>
      <c r="C244" s="63"/>
      <c r="D244" s="63"/>
      <c r="E244" s="63" t="s">
        <v>203</v>
      </c>
      <c r="F244" s="44">
        <v>4.63</v>
      </c>
      <c r="G244" s="63"/>
      <c r="H244" s="104" t="s">
        <v>204</v>
      </c>
      <c r="I244" s="104"/>
      <c r="J244" s="44">
        <v>21.47</v>
      </c>
    </row>
    <row r="245" spans="1:10" ht="24" customHeight="1" thickBot="1" x14ac:dyDescent="0.25">
      <c r="A245" s="61"/>
      <c r="B245" s="61"/>
      <c r="C245" s="61"/>
      <c r="D245" s="61"/>
      <c r="E245" s="61"/>
      <c r="F245" s="61"/>
      <c r="G245" s="61" t="s">
        <v>205</v>
      </c>
      <c r="H245" s="45" t="s">
        <v>335</v>
      </c>
      <c r="I245" s="61" t="s">
        <v>207</v>
      </c>
      <c r="J245" s="62">
        <v>170.47</v>
      </c>
    </row>
    <row r="246" spans="1:10" ht="26.1" customHeight="1" thickTop="1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</row>
    <row r="247" spans="1:10" ht="39" customHeight="1" x14ac:dyDescent="0.2">
      <c r="A247" s="64" t="s">
        <v>109</v>
      </c>
      <c r="B247" s="16" t="s">
        <v>31</v>
      </c>
      <c r="C247" s="64" t="s">
        <v>32</v>
      </c>
      <c r="D247" s="64" t="s">
        <v>9</v>
      </c>
      <c r="E247" s="107" t="s">
        <v>179</v>
      </c>
      <c r="F247" s="107"/>
      <c r="G247" s="17" t="s">
        <v>33</v>
      </c>
      <c r="H247" s="16" t="s">
        <v>10</v>
      </c>
      <c r="I247" s="16" t="s">
        <v>34</v>
      </c>
      <c r="J247" s="16" t="s">
        <v>11</v>
      </c>
    </row>
    <row r="248" spans="1:10" ht="25.5" x14ac:dyDescent="0.2">
      <c r="A248" s="66" t="s">
        <v>180</v>
      </c>
      <c r="B248" s="24" t="s">
        <v>110</v>
      </c>
      <c r="C248" s="66" t="s">
        <v>40</v>
      </c>
      <c r="D248" s="66" t="s">
        <v>111</v>
      </c>
      <c r="E248" s="108" t="s">
        <v>310</v>
      </c>
      <c r="F248" s="108"/>
      <c r="G248" s="23" t="s">
        <v>93</v>
      </c>
      <c r="H248" s="35">
        <v>1</v>
      </c>
      <c r="I248" s="25">
        <v>44.24</v>
      </c>
      <c r="J248" s="25">
        <v>44.24</v>
      </c>
    </row>
    <row r="249" spans="1:10" ht="14.25" customHeight="1" x14ac:dyDescent="0.2">
      <c r="A249" s="67" t="s">
        <v>182</v>
      </c>
      <c r="B249" s="36" t="s">
        <v>336</v>
      </c>
      <c r="C249" s="67" t="s">
        <v>40</v>
      </c>
      <c r="D249" s="67" t="s">
        <v>337</v>
      </c>
      <c r="E249" s="105" t="s">
        <v>310</v>
      </c>
      <c r="F249" s="105"/>
      <c r="G249" s="37" t="s">
        <v>93</v>
      </c>
      <c r="H249" s="38">
        <v>1</v>
      </c>
      <c r="I249" s="39">
        <v>34.17</v>
      </c>
      <c r="J249" s="39">
        <v>34.17</v>
      </c>
    </row>
    <row r="250" spans="1:10" ht="50.1" customHeight="1" x14ac:dyDescent="0.2">
      <c r="A250" s="67" t="s">
        <v>182</v>
      </c>
      <c r="B250" s="36" t="s">
        <v>320</v>
      </c>
      <c r="C250" s="67" t="s">
        <v>40</v>
      </c>
      <c r="D250" s="67" t="s">
        <v>321</v>
      </c>
      <c r="E250" s="105" t="s">
        <v>310</v>
      </c>
      <c r="F250" s="105"/>
      <c r="G250" s="37" t="s">
        <v>93</v>
      </c>
      <c r="H250" s="38">
        <v>1</v>
      </c>
      <c r="I250" s="39">
        <v>10.07</v>
      </c>
      <c r="J250" s="39">
        <v>10.07</v>
      </c>
    </row>
    <row r="251" spans="1:10" ht="0.95" customHeight="1" x14ac:dyDescent="0.2">
      <c r="A251" s="63"/>
      <c r="B251" s="63"/>
      <c r="C251" s="63"/>
      <c r="D251" s="63"/>
      <c r="E251" s="63" t="s">
        <v>200</v>
      </c>
      <c r="F251" s="44">
        <v>18.579999999999998</v>
      </c>
      <c r="G251" s="63" t="s">
        <v>201</v>
      </c>
      <c r="H251" s="44">
        <v>0</v>
      </c>
      <c r="I251" s="63" t="s">
        <v>202</v>
      </c>
      <c r="J251" s="44">
        <v>18.579999999999998</v>
      </c>
    </row>
    <row r="252" spans="1:10" ht="18" customHeight="1" x14ac:dyDescent="0.2">
      <c r="A252" s="63"/>
      <c r="B252" s="63"/>
      <c r="C252" s="63"/>
      <c r="D252" s="63"/>
      <c r="E252" s="63" t="s">
        <v>203</v>
      </c>
      <c r="F252" s="44">
        <v>12.18</v>
      </c>
      <c r="G252" s="63"/>
      <c r="H252" s="104" t="s">
        <v>204</v>
      </c>
      <c r="I252" s="104"/>
      <c r="J252" s="44">
        <v>56.42</v>
      </c>
    </row>
    <row r="253" spans="1:10" ht="26.1" customHeight="1" thickBot="1" x14ac:dyDescent="0.25">
      <c r="A253" s="61"/>
      <c r="B253" s="61"/>
      <c r="C253" s="61"/>
      <c r="D253" s="61"/>
      <c r="E253" s="61"/>
      <c r="F253" s="61"/>
      <c r="G253" s="61" t="s">
        <v>205</v>
      </c>
      <c r="H253" s="45" t="s">
        <v>259</v>
      </c>
      <c r="I253" s="61" t="s">
        <v>207</v>
      </c>
      <c r="J253" s="62">
        <v>225.68</v>
      </c>
    </row>
    <row r="254" spans="1:10" ht="24" customHeight="1" thickTop="1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</row>
    <row r="255" spans="1:10" ht="26.1" customHeight="1" x14ac:dyDescent="0.2">
      <c r="A255" s="64" t="s">
        <v>112</v>
      </c>
      <c r="B255" s="16" t="s">
        <v>31</v>
      </c>
      <c r="C255" s="64" t="s">
        <v>32</v>
      </c>
      <c r="D255" s="64" t="s">
        <v>9</v>
      </c>
      <c r="E255" s="107" t="s">
        <v>179</v>
      </c>
      <c r="F255" s="107"/>
      <c r="G255" s="17" t="s">
        <v>33</v>
      </c>
      <c r="H255" s="16" t="s">
        <v>10</v>
      </c>
      <c r="I255" s="16" t="s">
        <v>34</v>
      </c>
      <c r="J255" s="16" t="s">
        <v>11</v>
      </c>
    </row>
    <row r="256" spans="1:10" ht="26.1" customHeight="1" x14ac:dyDescent="0.2">
      <c r="A256" s="66" t="s">
        <v>180</v>
      </c>
      <c r="B256" s="24" t="s">
        <v>113</v>
      </c>
      <c r="C256" s="66" t="s">
        <v>40</v>
      </c>
      <c r="D256" s="66" t="s">
        <v>114</v>
      </c>
      <c r="E256" s="108" t="s">
        <v>310</v>
      </c>
      <c r="F256" s="108"/>
      <c r="G256" s="23" t="s">
        <v>93</v>
      </c>
      <c r="H256" s="35">
        <v>1</v>
      </c>
      <c r="I256" s="25">
        <v>9.66</v>
      </c>
      <c r="J256" s="25">
        <v>9.66</v>
      </c>
    </row>
    <row r="257" spans="1:10" ht="25.5" x14ac:dyDescent="0.2">
      <c r="A257" s="67" t="s">
        <v>182</v>
      </c>
      <c r="B257" s="36" t="s">
        <v>311</v>
      </c>
      <c r="C257" s="67" t="s">
        <v>40</v>
      </c>
      <c r="D257" s="67" t="s">
        <v>312</v>
      </c>
      <c r="E257" s="105" t="s">
        <v>181</v>
      </c>
      <c r="F257" s="105"/>
      <c r="G257" s="37" t="s">
        <v>42</v>
      </c>
      <c r="H257" s="38">
        <v>0.15</v>
      </c>
      <c r="I257" s="39">
        <v>21.1</v>
      </c>
      <c r="J257" s="39">
        <v>3.16</v>
      </c>
    </row>
    <row r="258" spans="1:10" ht="14.25" customHeight="1" x14ac:dyDescent="0.2">
      <c r="A258" s="67" t="s">
        <v>182</v>
      </c>
      <c r="B258" s="36" t="s">
        <v>313</v>
      </c>
      <c r="C258" s="67" t="s">
        <v>40</v>
      </c>
      <c r="D258" s="67" t="s">
        <v>314</v>
      </c>
      <c r="E258" s="105" t="s">
        <v>181</v>
      </c>
      <c r="F258" s="105"/>
      <c r="G258" s="37" t="s">
        <v>42</v>
      </c>
      <c r="H258" s="38">
        <v>0.15</v>
      </c>
      <c r="I258" s="39">
        <v>25.31</v>
      </c>
      <c r="J258" s="39">
        <v>3.79</v>
      </c>
    </row>
    <row r="259" spans="1:10" ht="50.1" customHeight="1" x14ac:dyDescent="0.2">
      <c r="A259" s="68" t="s">
        <v>185</v>
      </c>
      <c r="B259" s="40" t="s">
        <v>338</v>
      </c>
      <c r="C259" s="68" t="s">
        <v>40</v>
      </c>
      <c r="D259" s="68" t="s">
        <v>339</v>
      </c>
      <c r="E259" s="106" t="s">
        <v>196</v>
      </c>
      <c r="F259" s="106"/>
      <c r="G259" s="41" t="s">
        <v>93</v>
      </c>
      <c r="H259" s="42">
        <v>1</v>
      </c>
      <c r="I259" s="43">
        <v>2.71</v>
      </c>
      <c r="J259" s="43">
        <v>2.71</v>
      </c>
    </row>
    <row r="260" spans="1:10" ht="0.95" customHeight="1" x14ac:dyDescent="0.2">
      <c r="A260" s="63"/>
      <c r="B260" s="63"/>
      <c r="C260" s="63"/>
      <c r="D260" s="63"/>
      <c r="E260" s="63" t="s">
        <v>200</v>
      </c>
      <c r="F260" s="44">
        <v>5.07</v>
      </c>
      <c r="G260" s="63" t="s">
        <v>201</v>
      </c>
      <c r="H260" s="44">
        <v>0</v>
      </c>
      <c r="I260" s="63" t="s">
        <v>202</v>
      </c>
      <c r="J260" s="44">
        <v>5.07</v>
      </c>
    </row>
    <row r="261" spans="1:10" ht="24" customHeight="1" x14ac:dyDescent="0.2">
      <c r="A261" s="63"/>
      <c r="B261" s="63"/>
      <c r="C261" s="63"/>
      <c r="D261" s="63"/>
      <c r="E261" s="63" t="s">
        <v>203</v>
      </c>
      <c r="F261" s="44">
        <v>2.66</v>
      </c>
      <c r="G261" s="63"/>
      <c r="H261" s="104" t="s">
        <v>204</v>
      </c>
      <c r="I261" s="104"/>
      <c r="J261" s="44">
        <v>12.32</v>
      </c>
    </row>
    <row r="262" spans="1:10" ht="18" customHeight="1" thickBot="1" x14ac:dyDescent="0.25">
      <c r="A262" s="61"/>
      <c r="B262" s="61"/>
      <c r="C262" s="61"/>
      <c r="D262" s="61"/>
      <c r="E262" s="61"/>
      <c r="F262" s="61"/>
      <c r="G262" s="61" t="s">
        <v>205</v>
      </c>
      <c r="H262" s="45" t="s">
        <v>259</v>
      </c>
      <c r="I262" s="61" t="s">
        <v>207</v>
      </c>
      <c r="J262" s="62">
        <v>49.28</v>
      </c>
    </row>
    <row r="263" spans="1:10" ht="26.1" customHeight="1" thickTop="1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</row>
    <row r="264" spans="1:10" ht="24" customHeight="1" x14ac:dyDescent="0.2">
      <c r="A264" s="64" t="s">
        <v>115</v>
      </c>
      <c r="B264" s="16" t="s">
        <v>31</v>
      </c>
      <c r="C264" s="64" t="s">
        <v>32</v>
      </c>
      <c r="D264" s="64" t="s">
        <v>9</v>
      </c>
      <c r="E264" s="107" t="s">
        <v>179</v>
      </c>
      <c r="F264" s="107"/>
      <c r="G264" s="17" t="s">
        <v>33</v>
      </c>
      <c r="H264" s="16" t="s">
        <v>10</v>
      </c>
      <c r="I264" s="16" t="s">
        <v>34</v>
      </c>
      <c r="J264" s="16" t="s">
        <v>11</v>
      </c>
    </row>
    <row r="265" spans="1:10" ht="26.1" customHeight="1" x14ac:dyDescent="0.2">
      <c r="A265" s="66" t="s">
        <v>180</v>
      </c>
      <c r="B265" s="24" t="s">
        <v>116</v>
      </c>
      <c r="C265" s="66" t="s">
        <v>40</v>
      </c>
      <c r="D265" s="66" t="s">
        <v>117</v>
      </c>
      <c r="E265" s="108" t="s">
        <v>310</v>
      </c>
      <c r="F265" s="108"/>
      <c r="G265" s="23" t="s">
        <v>55</v>
      </c>
      <c r="H265" s="35">
        <v>1</v>
      </c>
      <c r="I265" s="25">
        <v>4.55</v>
      </c>
      <c r="J265" s="25">
        <v>4.55</v>
      </c>
    </row>
    <row r="266" spans="1:10" ht="26.1" customHeight="1" x14ac:dyDescent="0.2">
      <c r="A266" s="67" t="s">
        <v>182</v>
      </c>
      <c r="B266" s="36" t="s">
        <v>311</v>
      </c>
      <c r="C266" s="67" t="s">
        <v>40</v>
      </c>
      <c r="D266" s="67" t="s">
        <v>312</v>
      </c>
      <c r="E266" s="105" t="s">
        <v>181</v>
      </c>
      <c r="F266" s="105"/>
      <c r="G266" s="37" t="s">
        <v>42</v>
      </c>
      <c r="H266" s="38">
        <v>2.9000000000000001E-2</v>
      </c>
      <c r="I266" s="39">
        <v>21.1</v>
      </c>
      <c r="J266" s="39">
        <v>0.61</v>
      </c>
    </row>
    <row r="267" spans="1:10" ht="25.5" x14ac:dyDescent="0.2">
      <c r="A267" s="67" t="s">
        <v>182</v>
      </c>
      <c r="B267" s="36" t="s">
        <v>313</v>
      </c>
      <c r="C267" s="67" t="s">
        <v>40</v>
      </c>
      <c r="D267" s="67" t="s">
        <v>314</v>
      </c>
      <c r="E267" s="105" t="s">
        <v>181</v>
      </c>
      <c r="F267" s="105"/>
      <c r="G267" s="37" t="s">
        <v>42</v>
      </c>
      <c r="H267" s="38">
        <v>2.9000000000000001E-2</v>
      </c>
      <c r="I267" s="39">
        <v>25.31</v>
      </c>
      <c r="J267" s="39">
        <v>0.73</v>
      </c>
    </row>
    <row r="268" spans="1:10" ht="14.25" customHeight="1" x14ac:dyDescent="0.2">
      <c r="A268" s="68" t="s">
        <v>185</v>
      </c>
      <c r="B268" s="40" t="s">
        <v>322</v>
      </c>
      <c r="C268" s="68" t="s">
        <v>40</v>
      </c>
      <c r="D268" s="68" t="s">
        <v>323</v>
      </c>
      <c r="E268" s="106" t="s">
        <v>196</v>
      </c>
      <c r="F268" s="106"/>
      <c r="G268" s="41" t="s">
        <v>93</v>
      </c>
      <c r="H268" s="42">
        <v>9.4000000000000004E-3</v>
      </c>
      <c r="I268" s="43">
        <v>4.8899999999999997</v>
      </c>
      <c r="J268" s="43">
        <v>0.04</v>
      </c>
    </row>
    <row r="269" spans="1:10" ht="50.1" customHeight="1" x14ac:dyDescent="0.2">
      <c r="A269" s="68" t="s">
        <v>185</v>
      </c>
      <c r="B269" s="40" t="s">
        <v>340</v>
      </c>
      <c r="C269" s="68" t="s">
        <v>40</v>
      </c>
      <c r="D269" s="68" t="s">
        <v>341</v>
      </c>
      <c r="E269" s="106" t="s">
        <v>196</v>
      </c>
      <c r="F269" s="106"/>
      <c r="G269" s="41" t="s">
        <v>55</v>
      </c>
      <c r="H269" s="42">
        <v>1.2434000000000001</v>
      </c>
      <c r="I269" s="43">
        <v>2.5499999999999998</v>
      </c>
      <c r="J269" s="43">
        <v>3.17</v>
      </c>
    </row>
    <row r="270" spans="1:10" ht="0.95" customHeight="1" x14ac:dyDescent="0.2">
      <c r="A270" s="63"/>
      <c r="B270" s="63"/>
      <c r="C270" s="63"/>
      <c r="D270" s="63"/>
      <c r="E270" s="63" t="s">
        <v>200</v>
      </c>
      <c r="F270" s="44">
        <v>0.98</v>
      </c>
      <c r="G270" s="63" t="s">
        <v>201</v>
      </c>
      <c r="H270" s="44">
        <v>0</v>
      </c>
      <c r="I270" s="63" t="s">
        <v>202</v>
      </c>
      <c r="J270" s="44">
        <v>0.98</v>
      </c>
    </row>
    <row r="271" spans="1:10" ht="18" customHeight="1" x14ac:dyDescent="0.2">
      <c r="A271" s="63"/>
      <c r="B271" s="63"/>
      <c r="C271" s="63"/>
      <c r="D271" s="63"/>
      <c r="E271" s="63" t="s">
        <v>203</v>
      </c>
      <c r="F271" s="44">
        <v>1.25</v>
      </c>
      <c r="G271" s="63"/>
      <c r="H271" s="104" t="s">
        <v>204</v>
      </c>
      <c r="I271" s="104"/>
      <c r="J271" s="44">
        <v>5.8</v>
      </c>
    </row>
    <row r="272" spans="1:10" ht="39" customHeight="1" thickBot="1" x14ac:dyDescent="0.25">
      <c r="A272" s="61"/>
      <c r="B272" s="61"/>
      <c r="C272" s="61"/>
      <c r="D272" s="61"/>
      <c r="E272" s="61"/>
      <c r="F272" s="61"/>
      <c r="G272" s="61" t="s">
        <v>205</v>
      </c>
      <c r="H272" s="45" t="s">
        <v>342</v>
      </c>
      <c r="I272" s="61" t="s">
        <v>207</v>
      </c>
      <c r="J272" s="62">
        <v>363.37</v>
      </c>
    </row>
    <row r="273" spans="1:10" ht="24" customHeight="1" thickTop="1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</row>
    <row r="274" spans="1:10" ht="26.1" customHeight="1" x14ac:dyDescent="0.2">
      <c r="A274" s="64" t="s">
        <v>118</v>
      </c>
      <c r="B274" s="16" t="s">
        <v>31</v>
      </c>
      <c r="C274" s="64" t="s">
        <v>32</v>
      </c>
      <c r="D274" s="64" t="s">
        <v>9</v>
      </c>
      <c r="E274" s="107" t="s">
        <v>179</v>
      </c>
      <c r="F274" s="107"/>
      <c r="G274" s="17" t="s">
        <v>33</v>
      </c>
      <c r="H274" s="16" t="s">
        <v>10</v>
      </c>
      <c r="I274" s="16" t="s">
        <v>34</v>
      </c>
      <c r="J274" s="16" t="s">
        <v>11</v>
      </c>
    </row>
    <row r="275" spans="1:10" ht="26.1" customHeight="1" x14ac:dyDescent="0.2">
      <c r="A275" s="66" t="s">
        <v>180</v>
      </c>
      <c r="B275" s="24" t="s">
        <v>119</v>
      </c>
      <c r="C275" s="66" t="s">
        <v>40</v>
      </c>
      <c r="D275" s="66" t="s">
        <v>120</v>
      </c>
      <c r="E275" s="108" t="s">
        <v>310</v>
      </c>
      <c r="F275" s="108"/>
      <c r="G275" s="23" t="s">
        <v>93</v>
      </c>
      <c r="H275" s="35">
        <v>1</v>
      </c>
      <c r="I275" s="25">
        <v>21.88</v>
      </c>
      <c r="J275" s="25">
        <v>21.88</v>
      </c>
    </row>
    <row r="276" spans="1:10" ht="25.5" x14ac:dyDescent="0.2">
      <c r="A276" s="67" t="s">
        <v>182</v>
      </c>
      <c r="B276" s="36" t="s">
        <v>313</v>
      </c>
      <c r="C276" s="67" t="s">
        <v>40</v>
      </c>
      <c r="D276" s="67" t="s">
        <v>314</v>
      </c>
      <c r="E276" s="105" t="s">
        <v>181</v>
      </c>
      <c r="F276" s="105"/>
      <c r="G276" s="37" t="s">
        <v>42</v>
      </c>
      <c r="H276" s="38">
        <v>0.2</v>
      </c>
      <c r="I276" s="39">
        <v>25.31</v>
      </c>
      <c r="J276" s="39">
        <v>5.0599999999999996</v>
      </c>
    </row>
    <row r="277" spans="1:10" ht="14.25" customHeight="1" x14ac:dyDescent="0.2">
      <c r="A277" s="67" t="s">
        <v>182</v>
      </c>
      <c r="B277" s="36" t="s">
        <v>311</v>
      </c>
      <c r="C277" s="67" t="s">
        <v>40</v>
      </c>
      <c r="D277" s="67" t="s">
        <v>312</v>
      </c>
      <c r="E277" s="105" t="s">
        <v>181</v>
      </c>
      <c r="F277" s="105"/>
      <c r="G277" s="37" t="s">
        <v>42</v>
      </c>
      <c r="H277" s="38">
        <v>0.2</v>
      </c>
      <c r="I277" s="39">
        <v>21.1</v>
      </c>
      <c r="J277" s="39">
        <v>4.22</v>
      </c>
    </row>
    <row r="278" spans="1:10" ht="50.1" customHeight="1" x14ac:dyDescent="0.2">
      <c r="A278" s="68" t="s">
        <v>185</v>
      </c>
      <c r="B278" s="40" t="s">
        <v>343</v>
      </c>
      <c r="C278" s="68" t="s">
        <v>40</v>
      </c>
      <c r="D278" s="68" t="s">
        <v>344</v>
      </c>
      <c r="E278" s="106" t="s">
        <v>196</v>
      </c>
      <c r="F278" s="106"/>
      <c r="G278" s="41" t="s">
        <v>93</v>
      </c>
      <c r="H278" s="42">
        <v>1</v>
      </c>
      <c r="I278" s="43">
        <v>12.6</v>
      </c>
      <c r="J278" s="43">
        <v>12.6</v>
      </c>
    </row>
    <row r="279" spans="1:10" ht="0.95" customHeight="1" x14ac:dyDescent="0.2">
      <c r="A279" s="63"/>
      <c r="B279" s="63"/>
      <c r="C279" s="63"/>
      <c r="D279" s="63"/>
      <c r="E279" s="63" t="s">
        <v>200</v>
      </c>
      <c r="F279" s="44">
        <v>6.77</v>
      </c>
      <c r="G279" s="63" t="s">
        <v>201</v>
      </c>
      <c r="H279" s="44">
        <v>0</v>
      </c>
      <c r="I279" s="63" t="s">
        <v>202</v>
      </c>
      <c r="J279" s="44">
        <v>6.77</v>
      </c>
    </row>
    <row r="280" spans="1:10" ht="18" customHeight="1" x14ac:dyDescent="0.2">
      <c r="A280" s="63"/>
      <c r="B280" s="63"/>
      <c r="C280" s="63"/>
      <c r="D280" s="63"/>
      <c r="E280" s="63" t="s">
        <v>203</v>
      </c>
      <c r="F280" s="44">
        <v>6.02</v>
      </c>
      <c r="G280" s="63"/>
      <c r="H280" s="104" t="s">
        <v>204</v>
      </c>
      <c r="I280" s="104"/>
      <c r="J280" s="44">
        <v>27.9</v>
      </c>
    </row>
    <row r="281" spans="1:10" ht="26.1" customHeight="1" thickBot="1" x14ac:dyDescent="0.25">
      <c r="A281" s="61"/>
      <c r="B281" s="61"/>
      <c r="C281" s="61"/>
      <c r="D281" s="61"/>
      <c r="E281" s="61"/>
      <c r="F281" s="61"/>
      <c r="G281" s="61" t="s">
        <v>205</v>
      </c>
      <c r="H281" s="45" t="s">
        <v>463</v>
      </c>
      <c r="I281" s="61" t="s">
        <v>207</v>
      </c>
      <c r="J281" s="62">
        <v>16.739999999999998</v>
      </c>
    </row>
    <row r="282" spans="1:10" ht="26.1" customHeight="1" thickTop="1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</row>
    <row r="283" spans="1:10" ht="24" customHeight="1" x14ac:dyDescent="0.2">
      <c r="A283" s="65" t="s">
        <v>23</v>
      </c>
      <c r="B283" s="65"/>
      <c r="C283" s="65"/>
      <c r="D283" s="65" t="s">
        <v>24</v>
      </c>
      <c r="E283" s="65"/>
      <c r="F283" s="109"/>
      <c r="G283" s="109"/>
      <c r="H283" s="20"/>
      <c r="I283" s="65"/>
      <c r="J283" s="21">
        <v>12429.52</v>
      </c>
    </row>
    <row r="284" spans="1:10" ht="39" customHeight="1" x14ac:dyDescent="0.2">
      <c r="A284" s="64" t="s">
        <v>121</v>
      </c>
      <c r="B284" s="16" t="s">
        <v>31</v>
      </c>
      <c r="C284" s="64" t="s">
        <v>32</v>
      </c>
      <c r="D284" s="64" t="s">
        <v>9</v>
      </c>
      <c r="E284" s="107" t="s">
        <v>179</v>
      </c>
      <c r="F284" s="107"/>
      <c r="G284" s="17" t="s">
        <v>33</v>
      </c>
      <c r="H284" s="16" t="s">
        <v>10</v>
      </c>
      <c r="I284" s="16" t="s">
        <v>34</v>
      </c>
      <c r="J284" s="16" t="s">
        <v>11</v>
      </c>
    </row>
    <row r="285" spans="1:10" ht="26.1" customHeight="1" x14ac:dyDescent="0.2">
      <c r="A285" s="66" t="s">
        <v>180</v>
      </c>
      <c r="B285" s="24" t="s">
        <v>122</v>
      </c>
      <c r="C285" s="66" t="s">
        <v>40</v>
      </c>
      <c r="D285" s="66" t="s">
        <v>123</v>
      </c>
      <c r="E285" s="108" t="s">
        <v>345</v>
      </c>
      <c r="F285" s="108"/>
      <c r="G285" s="23" t="s">
        <v>93</v>
      </c>
      <c r="H285" s="35">
        <v>1</v>
      </c>
      <c r="I285" s="25">
        <v>1150.8900000000001</v>
      </c>
      <c r="J285" s="25">
        <v>1150.8900000000001</v>
      </c>
    </row>
    <row r="286" spans="1:10" ht="26.1" customHeight="1" x14ac:dyDescent="0.2">
      <c r="A286" s="67" t="s">
        <v>182</v>
      </c>
      <c r="B286" s="36" t="s">
        <v>313</v>
      </c>
      <c r="C286" s="67" t="s">
        <v>40</v>
      </c>
      <c r="D286" s="67" t="s">
        <v>314</v>
      </c>
      <c r="E286" s="105" t="s">
        <v>181</v>
      </c>
      <c r="F286" s="105"/>
      <c r="G286" s="37" t="s">
        <v>42</v>
      </c>
      <c r="H286" s="38">
        <v>5.7864000000000004</v>
      </c>
      <c r="I286" s="39">
        <v>25.31</v>
      </c>
      <c r="J286" s="39">
        <v>146.44999999999999</v>
      </c>
    </row>
    <row r="287" spans="1:10" ht="26.1" customHeight="1" x14ac:dyDescent="0.2">
      <c r="A287" s="67" t="s">
        <v>182</v>
      </c>
      <c r="B287" s="36" t="s">
        <v>311</v>
      </c>
      <c r="C287" s="67" t="s">
        <v>40</v>
      </c>
      <c r="D287" s="67" t="s">
        <v>312</v>
      </c>
      <c r="E287" s="105" t="s">
        <v>181</v>
      </c>
      <c r="F287" s="105"/>
      <c r="G287" s="37" t="s">
        <v>42</v>
      </c>
      <c r="H287" s="38">
        <v>4.3398000000000003</v>
      </c>
      <c r="I287" s="39">
        <v>21.1</v>
      </c>
      <c r="J287" s="39">
        <v>91.56</v>
      </c>
    </row>
    <row r="288" spans="1:10" ht="25.5" x14ac:dyDescent="0.2">
      <c r="A288" s="68" t="s">
        <v>185</v>
      </c>
      <c r="B288" s="40" t="s">
        <v>346</v>
      </c>
      <c r="C288" s="68" t="s">
        <v>40</v>
      </c>
      <c r="D288" s="68" t="s">
        <v>347</v>
      </c>
      <c r="E288" s="106" t="s">
        <v>196</v>
      </c>
      <c r="F288" s="106"/>
      <c r="G288" s="41" t="s">
        <v>93</v>
      </c>
      <c r="H288" s="42">
        <v>1</v>
      </c>
      <c r="I288" s="43">
        <v>912.88</v>
      </c>
      <c r="J288" s="43">
        <v>912.88</v>
      </c>
    </row>
    <row r="289" spans="1:10" ht="14.25" customHeight="1" x14ac:dyDescent="0.2">
      <c r="A289" s="63"/>
      <c r="B289" s="63"/>
      <c r="C289" s="63"/>
      <c r="D289" s="63"/>
      <c r="E289" s="63" t="s">
        <v>200</v>
      </c>
      <c r="F289" s="44">
        <v>174.63</v>
      </c>
      <c r="G289" s="63" t="s">
        <v>201</v>
      </c>
      <c r="H289" s="44">
        <v>0</v>
      </c>
      <c r="I289" s="63" t="s">
        <v>202</v>
      </c>
      <c r="J289" s="44">
        <v>174.63</v>
      </c>
    </row>
    <row r="290" spans="1:10" ht="50.1" customHeight="1" x14ac:dyDescent="0.2">
      <c r="A290" s="63"/>
      <c r="B290" s="63"/>
      <c r="C290" s="63"/>
      <c r="D290" s="63"/>
      <c r="E290" s="63" t="s">
        <v>203</v>
      </c>
      <c r="F290" s="44">
        <v>316.95</v>
      </c>
      <c r="G290" s="63"/>
      <c r="H290" s="104" t="s">
        <v>204</v>
      </c>
      <c r="I290" s="104"/>
      <c r="J290" s="44">
        <v>1467.84</v>
      </c>
    </row>
    <row r="291" spans="1:10" ht="0.95" customHeight="1" thickBot="1" x14ac:dyDescent="0.25">
      <c r="A291" s="61"/>
      <c r="B291" s="61"/>
      <c r="C291" s="61"/>
      <c r="D291" s="61"/>
      <c r="E291" s="61"/>
      <c r="F291" s="61"/>
      <c r="G291" s="61" t="s">
        <v>205</v>
      </c>
      <c r="H291" s="45" t="s">
        <v>220</v>
      </c>
      <c r="I291" s="61" t="s">
        <v>207</v>
      </c>
      <c r="J291" s="62">
        <v>1467.84</v>
      </c>
    </row>
    <row r="292" spans="1:10" ht="18" customHeight="1" thickTop="1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</row>
    <row r="293" spans="1:10" ht="39" customHeight="1" x14ac:dyDescent="0.2">
      <c r="A293" s="64" t="s">
        <v>124</v>
      </c>
      <c r="B293" s="16" t="s">
        <v>31</v>
      </c>
      <c r="C293" s="64" t="s">
        <v>32</v>
      </c>
      <c r="D293" s="64" t="s">
        <v>9</v>
      </c>
      <c r="E293" s="107" t="s">
        <v>179</v>
      </c>
      <c r="F293" s="107"/>
      <c r="G293" s="17" t="s">
        <v>33</v>
      </c>
      <c r="H293" s="16" t="s">
        <v>10</v>
      </c>
      <c r="I293" s="16" t="s">
        <v>34</v>
      </c>
      <c r="J293" s="16" t="s">
        <v>11</v>
      </c>
    </row>
    <row r="294" spans="1:10" ht="24" customHeight="1" x14ac:dyDescent="0.2">
      <c r="A294" s="66" t="s">
        <v>180</v>
      </c>
      <c r="B294" s="24" t="s">
        <v>125</v>
      </c>
      <c r="C294" s="66" t="s">
        <v>40</v>
      </c>
      <c r="D294" s="66" t="s">
        <v>126</v>
      </c>
      <c r="E294" s="108" t="s">
        <v>348</v>
      </c>
      <c r="F294" s="108"/>
      <c r="G294" s="23" t="s">
        <v>93</v>
      </c>
      <c r="H294" s="35">
        <v>1</v>
      </c>
      <c r="I294" s="25">
        <v>664.97</v>
      </c>
      <c r="J294" s="25">
        <v>664.97</v>
      </c>
    </row>
    <row r="295" spans="1:10" ht="26.1" customHeight="1" x14ac:dyDescent="0.2">
      <c r="A295" s="67" t="s">
        <v>182</v>
      </c>
      <c r="B295" s="36" t="s">
        <v>313</v>
      </c>
      <c r="C295" s="67" t="s">
        <v>40</v>
      </c>
      <c r="D295" s="67" t="s">
        <v>314</v>
      </c>
      <c r="E295" s="105" t="s">
        <v>181</v>
      </c>
      <c r="F295" s="105"/>
      <c r="G295" s="37" t="s">
        <v>42</v>
      </c>
      <c r="H295" s="38">
        <v>1.2902940000000001</v>
      </c>
      <c r="I295" s="39">
        <v>25.31</v>
      </c>
      <c r="J295" s="39">
        <v>32.65</v>
      </c>
    </row>
    <row r="296" spans="1:10" ht="26.1" customHeight="1" x14ac:dyDescent="0.2">
      <c r="A296" s="67" t="s">
        <v>182</v>
      </c>
      <c r="B296" s="36" t="s">
        <v>311</v>
      </c>
      <c r="C296" s="67" t="s">
        <v>40</v>
      </c>
      <c r="D296" s="67" t="s">
        <v>312</v>
      </c>
      <c r="E296" s="105" t="s">
        <v>181</v>
      </c>
      <c r="F296" s="105"/>
      <c r="G296" s="37" t="s">
        <v>42</v>
      </c>
      <c r="H296" s="38">
        <v>0.96772049999999998</v>
      </c>
      <c r="I296" s="39">
        <v>21.1</v>
      </c>
      <c r="J296" s="39">
        <v>20.41</v>
      </c>
    </row>
    <row r="297" spans="1:10" ht="25.5" x14ac:dyDescent="0.2">
      <c r="A297" s="68" t="s">
        <v>185</v>
      </c>
      <c r="B297" s="40" t="s">
        <v>349</v>
      </c>
      <c r="C297" s="68" t="s">
        <v>40</v>
      </c>
      <c r="D297" s="68" t="s">
        <v>350</v>
      </c>
      <c r="E297" s="106" t="s">
        <v>196</v>
      </c>
      <c r="F297" s="106"/>
      <c r="G297" s="41" t="s">
        <v>93</v>
      </c>
      <c r="H297" s="42">
        <v>1</v>
      </c>
      <c r="I297" s="43">
        <v>611.91</v>
      </c>
      <c r="J297" s="43">
        <v>611.91</v>
      </c>
    </row>
    <row r="298" spans="1:10" ht="14.25" customHeight="1" x14ac:dyDescent="0.2">
      <c r="A298" s="63"/>
      <c r="B298" s="63"/>
      <c r="C298" s="63"/>
      <c r="D298" s="63"/>
      <c r="E298" s="63" t="s">
        <v>200</v>
      </c>
      <c r="F298" s="44">
        <v>38.94</v>
      </c>
      <c r="G298" s="63" t="s">
        <v>201</v>
      </c>
      <c r="H298" s="44">
        <v>0</v>
      </c>
      <c r="I298" s="63" t="s">
        <v>202</v>
      </c>
      <c r="J298" s="44">
        <v>38.94</v>
      </c>
    </row>
    <row r="299" spans="1:10" ht="50.1" customHeight="1" x14ac:dyDescent="0.2">
      <c r="A299" s="63"/>
      <c r="B299" s="63"/>
      <c r="C299" s="63"/>
      <c r="D299" s="63"/>
      <c r="E299" s="63" t="s">
        <v>203</v>
      </c>
      <c r="F299" s="44">
        <v>183.13</v>
      </c>
      <c r="G299" s="63"/>
      <c r="H299" s="104" t="s">
        <v>204</v>
      </c>
      <c r="I299" s="104"/>
      <c r="J299" s="44">
        <v>848.1</v>
      </c>
    </row>
    <row r="300" spans="1:10" ht="0.95" customHeight="1" thickBot="1" x14ac:dyDescent="0.25">
      <c r="A300" s="61"/>
      <c r="B300" s="61"/>
      <c r="C300" s="61"/>
      <c r="D300" s="61"/>
      <c r="E300" s="61"/>
      <c r="F300" s="61"/>
      <c r="G300" s="61" t="s">
        <v>205</v>
      </c>
      <c r="H300" s="45" t="s">
        <v>220</v>
      </c>
      <c r="I300" s="61" t="s">
        <v>207</v>
      </c>
      <c r="J300" s="62">
        <v>848.1</v>
      </c>
    </row>
    <row r="301" spans="1:10" ht="18" customHeight="1" thickTop="1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</row>
    <row r="302" spans="1:10" ht="39" customHeight="1" x14ac:dyDescent="0.2">
      <c r="A302" s="64" t="s">
        <v>127</v>
      </c>
      <c r="B302" s="16" t="s">
        <v>31</v>
      </c>
      <c r="C302" s="64" t="s">
        <v>32</v>
      </c>
      <c r="D302" s="64" t="s">
        <v>9</v>
      </c>
      <c r="E302" s="107" t="s">
        <v>179</v>
      </c>
      <c r="F302" s="107"/>
      <c r="G302" s="17" t="s">
        <v>33</v>
      </c>
      <c r="H302" s="16" t="s">
        <v>10</v>
      </c>
      <c r="I302" s="16" t="s">
        <v>34</v>
      </c>
      <c r="J302" s="16" t="s">
        <v>11</v>
      </c>
    </row>
    <row r="303" spans="1:10" ht="24" customHeight="1" x14ac:dyDescent="0.2">
      <c r="A303" s="66" t="s">
        <v>180</v>
      </c>
      <c r="B303" s="24" t="s">
        <v>128</v>
      </c>
      <c r="C303" s="66" t="s">
        <v>49</v>
      </c>
      <c r="D303" s="66" t="s">
        <v>129</v>
      </c>
      <c r="E303" s="108" t="s">
        <v>310</v>
      </c>
      <c r="F303" s="108"/>
      <c r="G303" s="23" t="s">
        <v>93</v>
      </c>
      <c r="H303" s="35">
        <v>1</v>
      </c>
      <c r="I303" s="25">
        <v>90.4</v>
      </c>
      <c r="J303" s="25">
        <v>90.4</v>
      </c>
    </row>
    <row r="304" spans="1:10" ht="26.1" customHeight="1" x14ac:dyDescent="0.2">
      <c r="A304" s="67" t="s">
        <v>182</v>
      </c>
      <c r="B304" s="36" t="s">
        <v>311</v>
      </c>
      <c r="C304" s="67" t="s">
        <v>40</v>
      </c>
      <c r="D304" s="67" t="s">
        <v>312</v>
      </c>
      <c r="E304" s="105" t="s">
        <v>181</v>
      </c>
      <c r="F304" s="105"/>
      <c r="G304" s="37" t="s">
        <v>42</v>
      </c>
      <c r="H304" s="38">
        <v>0.3</v>
      </c>
      <c r="I304" s="39">
        <v>21.1</v>
      </c>
      <c r="J304" s="39">
        <v>6.33</v>
      </c>
    </row>
    <row r="305" spans="1:10" ht="65.099999999999994" customHeight="1" x14ac:dyDescent="0.2">
      <c r="A305" s="67" t="s">
        <v>182</v>
      </c>
      <c r="B305" s="36" t="s">
        <v>313</v>
      </c>
      <c r="C305" s="67" t="s">
        <v>40</v>
      </c>
      <c r="D305" s="67" t="s">
        <v>314</v>
      </c>
      <c r="E305" s="105" t="s">
        <v>181</v>
      </c>
      <c r="F305" s="105"/>
      <c r="G305" s="37" t="s">
        <v>42</v>
      </c>
      <c r="H305" s="38">
        <v>0.3</v>
      </c>
      <c r="I305" s="39">
        <v>25.31</v>
      </c>
      <c r="J305" s="39">
        <v>7.59</v>
      </c>
    </row>
    <row r="306" spans="1:10" ht="26.1" customHeight="1" x14ac:dyDescent="0.2">
      <c r="A306" s="68" t="s">
        <v>185</v>
      </c>
      <c r="B306" s="40" t="s">
        <v>351</v>
      </c>
      <c r="C306" s="68" t="s">
        <v>40</v>
      </c>
      <c r="D306" s="68" t="s">
        <v>352</v>
      </c>
      <c r="E306" s="106" t="s">
        <v>196</v>
      </c>
      <c r="F306" s="106"/>
      <c r="G306" s="41" t="s">
        <v>93</v>
      </c>
      <c r="H306" s="42">
        <v>1</v>
      </c>
      <c r="I306" s="43">
        <v>1.41</v>
      </c>
      <c r="J306" s="43">
        <v>1.41</v>
      </c>
    </row>
    <row r="307" spans="1:10" ht="25.5" x14ac:dyDescent="0.2">
      <c r="A307" s="68" t="s">
        <v>185</v>
      </c>
      <c r="B307" s="40" t="s">
        <v>353</v>
      </c>
      <c r="C307" s="68" t="s">
        <v>40</v>
      </c>
      <c r="D307" s="68" t="s">
        <v>354</v>
      </c>
      <c r="E307" s="106" t="s">
        <v>196</v>
      </c>
      <c r="F307" s="106"/>
      <c r="G307" s="41" t="s">
        <v>93</v>
      </c>
      <c r="H307" s="42">
        <v>1</v>
      </c>
      <c r="I307" s="43">
        <v>2.2200000000000002</v>
      </c>
      <c r="J307" s="43">
        <v>2.2200000000000002</v>
      </c>
    </row>
    <row r="308" spans="1:10" ht="14.25" customHeight="1" x14ac:dyDescent="0.2">
      <c r="A308" s="68" t="s">
        <v>185</v>
      </c>
      <c r="B308" s="40" t="s">
        <v>338</v>
      </c>
      <c r="C308" s="68" t="s">
        <v>40</v>
      </c>
      <c r="D308" s="68" t="s">
        <v>339</v>
      </c>
      <c r="E308" s="106" t="s">
        <v>196</v>
      </c>
      <c r="F308" s="106"/>
      <c r="G308" s="41" t="s">
        <v>93</v>
      </c>
      <c r="H308" s="42">
        <v>1</v>
      </c>
      <c r="I308" s="43">
        <v>2.71</v>
      </c>
      <c r="J308" s="43">
        <v>2.71</v>
      </c>
    </row>
    <row r="309" spans="1:10" ht="50.1" customHeight="1" x14ac:dyDescent="0.2">
      <c r="A309" s="68" t="s">
        <v>185</v>
      </c>
      <c r="B309" s="40" t="s">
        <v>355</v>
      </c>
      <c r="C309" s="68" t="s">
        <v>49</v>
      </c>
      <c r="D309" s="68" t="s">
        <v>356</v>
      </c>
      <c r="E309" s="106" t="s">
        <v>196</v>
      </c>
      <c r="F309" s="106"/>
      <c r="G309" s="41" t="s">
        <v>93</v>
      </c>
      <c r="H309" s="42">
        <v>2</v>
      </c>
      <c r="I309" s="43">
        <v>35.07</v>
      </c>
      <c r="J309" s="43">
        <v>70.14</v>
      </c>
    </row>
    <row r="310" spans="1:10" ht="0.95" customHeight="1" x14ac:dyDescent="0.2">
      <c r="A310" s="63"/>
      <c r="B310" s="63"/>
      <c r="C310" s="63"/>
      <c r="D310" s="63"/>
      <c r="E310" s="63" t="s">
        <v>200</v>
      </c>
      <c r="F310" s="44">
        <v>10.16</v>
      </c>
      <c r="G310" s="63" t="s">
        <v>201</v>
      </c>
      <c r="H310" s="44">
        <v>0</v>
      </c>
      <c r="I310" s="63" t="s">
        <v>202</v>
      </c>
      <c r="J310" s="44">
        <v>10.16</v>
      </c>
    </row>
    <row r="311" spans="1:10" ht="18" customHeight="1" x14ac:dyDescent="0.2">
      <c r="A311" s="63"/>
      <c r="B311" s="63"/>
      <c r="C311" s="63"/>
      <c r="D311" s="63"/>
      <c r="E311" s="63" t="s">
        <v>203</v>
      </c>
      <c r="F311" s="44">
        <v>24.89</v>
      </c>
      <c r="G311" s="63"/>
      <c r="H311" s="104" t="s">
        <v>204</v>
      </c>
      <c r="I311" s="104"/>
      <c r="J311" s="44">
        <v>115.29</v>
      </c>
    </row>
    <row r="312" spans="1:10" ht="39" customHeight="1" thickBot="1" x14ac:dyDescent="0.25">
      <c r="A312" s="61"/>
      <c r="B312" s="61"/>
      <c r="C312" s="61"/>
      <c r="D312" s="61"/>
      <c r="E312" s="61"/>
      <c r="F312" s="61"/>
      <c r="G312" s="61" t="s">
        <v>205</v>
      </c>
      <c r="H312" s="45" t="s">
        <v>326</v>
      </c>
      <c r="I312" s="61" t="s">
        <v>207</v>
      </c>
      <c r="J312" s="62">
        <v>345.87</v>
      </c>
    </row>
    <row r="313" spans="1:10" ht="24" customHeight="1" thickTop="1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</row>
    <row r="314" spans="1:10" ht="65.099999999999994" customHeight="1" x14ac:dyDescent="0.2">
      <c r="A314" s="64" t="s">
        <v>130</v>
      </c>
      <c r="B314" s="16" t="s">
        <v>31</v>
      </c>
      <c r="C314" s="64" t="s">
        <v>32</v>
      </c>
      <c r="D314" s="64" t="s">
        <v>9</v>
      </c>
      <c r="E314" s="107" t="s">
        <v>179</v>
      </c>
      <c r="F314" s="107"/>
      <c r="G314" s="17" t="s">
        <v>33</v>
      </c>
      <c r="H314" s="16" t="s">
        <v>10</v>
      </c>
      <c r="I314" s="16" t="s">
        <v>34</v>
      </c>
      <c r="J314" s="16" t="s">
        <v>11</v>
      </c>
    </row>
    <row r="315" spans="1:10" ht="26.1" customHeight="1" x14ac:dyDescent="0.2">
      <c r="A315" s="66" t="s">
        <v>180</v>
      </c>
      <c r="B315" s="24" t="s">
        <v>131</v>
      </c>
      <c r="C315" s="66" t="s">
        <v>40</v>
      </c>
      <c r="D315" s="66" t="s">
        <v>132</v>
      </c>
      <c r="E315" s="108" t="s">
        <v>345</v>
      </c>
      <c r="F315" s="108"/>
      <c r="G315" s="23" t="s">
        <v>55</v>
      </c>
      <c r="H315" s="35">
        <v>1</v>
      </c>
      <c r="I315" s="25">
        <v>10.5</v>
      </c>
      <c r="J315" s="25">
        <v>10.5</v>
      </c>
    </row>
    <row r="316" spans="1:10" ht="26.1" customHeight="1" x14ac:dyDescent="0.2">
      <c r="A316" s="67" t="s">
        <v>182</v>
      </c>
      <c r="B316" s="36" t="s">
        <v>313</v>
      </c>
      <c r="C316" s="67" t="s">
        <v>40</v>
      </c>
      <c r="D316" s="67" t="s">
        <v>314</v>
      </c>
      <c r="E316" s="105" t="s">
        <v>181</v>
      </c>
      <c r="F316" s="105"/>
      <c r="G316" s="37" t="s">
        <v>42</v>
      </c>
      <c r="H316" s="38">
        <v>9.7963000000000008E-3</v>
      </c>
      <c r="I316" s="39">
        <v>25.31</v>
      </c>
      <c r="J316" s="39">
        <v>0.24</v>
      </c>
    </row>
    <row r="317" spans="1:10" ht="25.5" x14ac:dyDescent="0.2">
      <c r="A317" s="67" t="s">
        <v>182</v>
      </c>
      <c r="B317" s="36" t="s">
        <v>311</v>
      </c>
      <c r="C317" s="67" t="s">
        <v>40</v>
      </c>
      <c r="D317" s="67" t="s">
        <v>312</v>
      </c>
      <c r="E317" s="105" t="s">
        <v>181</v>
      </c>
      <c r="F317" s="105"/>
      <c r="G317" s="37" t="s">
        <v>42</v>
      </c>
      <c r="H317" s="38">
        <v>7.3471999999999999E-3</v>
      </c>
      <c r="I317" s="39">
        <v>21.1</v>
      </c>
      <c r="J317" s="39">
        <v>0.15</v>
      </c>
    </row>
    <row r="318" spans="1:10" ht="14.25" customHeight="1" x14ac:dyDescent="0.2">
      <c r="A318" s="68" t="s">
        <v>185</v>
      </c>
      <c r="B318" s="40" t="s">
        <v>357</v>
      </c>
      <c r="C318" s="68" t="s">
        <v>40</v>
      </c>
      <c r="D318" s="68" t="s">
        <v>358</v>
      </c>
      <c r="E318" s="106" t="s">
        <v>196</v>
      </c>
      <c r="F318" s="106"/>
      <c r="G318" s="41" t="s">
        <v>55</v>
      </c>
      <c r="H318" s="42">
        <v>1.05</v>
      </c>
      <c r="I318" s="43">
        <v>9.6300000000000008</v>
      </c>
      <c r="J318" s="43">
        <v>10.11</v>
      </c>
    </row>
    <row r="319" spans="1:10" ht="50.1" customHeight="1" x14ac:dyDescent="0.2">
      <c r="A319" s="63"/>
      <c r="B319" s="63"/>
      <c r="C319" s="63"/>
      <c r="D319" s="63"/>
      <c r="E319" s="63" t="s">
        <v>200</v>
      </c>
      <c r="F319" s="44">
        <v>0.28000000000000003</v>
      </c>
      <c r="G319" s="63" t="s">
        <v>201</v>
      </c>
      <c r="H319" s="44">
        <v>0</v>
      </c>
      <c r="I319" s="63" t="s">
        <v>202</v>
      </c>
      <c r="J319" s="44">
        <v>0.28000000000000003</v>
      </c>
    </row>
    <row r="320" spans="1:10" ht="0.95" customHeight="1" x14ac:dyDescent="0.2">
      <c r="A320" s="63"/>
      <c r="B320" s="63"/>
      <c r="C320" s="63"/>
      <c r="D320" s="63"/>
      <c r="E320" s="63" t="s">
        <v>203</v>
      </c>
      <c r="F320" s="44">
        <v>2.89</v>
      </c>
      <c r="G320" s="63"/>
      <c r="H320" s="104" t="s">
        <v>204</v>
      </c>
      <c r="I320" s="104"/>
      <c r="J320" s="44">
        <v>13.39</v>
      </c>
    </row>
    <row r="321" spans="1:10" ht="18" customHeight="1" thickBot="1" x14ac:dyDescent="0.25">
      <c r="A321" s="61"/>
      <c r="B321" s="61"/>
      <c r="C321" s="61"/>
      <c r="D321" s="61"/>
      <c r="E321" s="61"/>
      <c r="F321" s="61"/>
      <c r="G321" s="61" t="s">
        <v>205</v>
      </c>
      <c r="H321" s="45" t="s">
        <v>359</v>
      </c>
      <c r="I321" s="61" t="s">
        <v>207</v>
      </c>
      <c r="J321" s="62">
        <v>4706.18</v>
      </c>
    </row>
    <row r="322" spans="1:10" ht="51.95" customHeight="1" thickTop="1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</row>
    <row r="323" spans="1:10" ht="26.1" customHeight="1" x14ac:dyDescent="0.2">
      <c r="A323" s="64" t="s">
        <v>133</v>
      </c>
      <c r="B323" s="16" t="s">
        <v>31</v>
      </c>
      <c r="C323" s="64" t="s">
        <v>32</v>
      </c>
      <c r="D323" s="64" t="s">
        <v>9</v>
      </c>
      <c r="E323" s="107" t="s">
        <v>179</v>
      </c>
      <c r="F323" s="107"/>
      <c r="G323" s="17" t="s">
        <v>33</v>
      </c>
      <c r="H323" s="16" t="s">
        <v>10</v>
      </c>
      <c r="I323" s="16" t="s">
        <v>34</v>
      </c>
      <c r="J323" s="16" t="s">
        <v>11</v>
      </c>
    </row>
    <row r="324" spans="1:10" ht="24" customHeight="1" x14ac:dyDescent="0.2">
      <c r="A324" s="66" t="s">
        <v>180</v>
      </c>
      <c r="B324" s="24" t="s">
        <v>107</v>
      </c>
      <c r="C324" s="66" t="s">
        <v>40</v>
      </c>
      <c r="D324" s="66" t="s">
        <v>108</v>
      </c>
      <c r="E324" s="108" t="s">
        <v>310</v>
      </c>
      <c r="F324" s="108"/>
      <c r="G324" s="23" t="s">
        <v>55</v>
      </c>
      <c r="H324" s="35">
        <v>1</v>
      </c>
      <c r="I324" s="25">
        <v>16.84</v>
      </c>
      <c r="J324" s="25">
        <v>16.84</v>
      </c>
    </row>
    <row r="325" spans="1:10" ht="51.95" customHeight="1" x14ac:dyDescent="0.2">
      <c r="A325" s="67" t="s">
        <v>182</v>
      </c>
      <c r="B325" s="36" t="s">
        <v>313</v>
      </c>
      <c r="C325" s="67" t="s">
        <v>40</v>
      </c>
      <c r="D325" s="67" t="s">
        <v>314</v>
      </c>
      <c r="E325" s="105" t="s">
        <v>181</v>
      </c>
      <c r="F325" s="105"/>
      <c r="G325" s="37" t="s">
        <v>42</v>
      </c>
      <c r="H325" s="38">
        <v>9.0999999999999998E-2</v>
      </c>
      <c r="I325" s="39">
        <v>25.31</v>
      </c>
      <c r="J325" s="39">
        <v>2.2999999999999998</v>
      </c>
    </row>
    <row r="326" spans="1:10" ht="25.5" x14ac:dyDescent="0.2">
      <c r="A326" s="67" t="s">
        <v>182</v>
      </c>
      <c r="B326" s="36" t="s">
        <v>311</v>
      </c>
      <c r="C326" s="67" t="s">
        <v>40</v>
      </c>
      <c r="D326" s="67" t="s">
        <v>312</v>
      </c>
      <c r="E326" s="105" t="s">
        <v>181</v>
      </c>
      <c r="F326" s="105"/>
      <c r="G326" s="37" t="s">
        <v>42</v>
      </c>
      <c r="H326" s="38">
        <v>9.0999999999999998E-2</v>
      </c>
      <c r="I326" s="39">
        <v>21.1</v>
      </c>
      <c r="J326" s="39">
        <v>1.92</v>
      </c>
    </row>
    <row r="327" spans="1:10" ht="14.25" customHeight="1" x14ac:dyDescent="0.2">
      <c r="A327" s="67" t="s">
        <v>182</v>
      </c>
      <c r="B327" s="36" t="s">
        <v>330</v>
      </c>
      <c r="C327" s="67" t="s">
        <v>40</v>
      </c>
      <c r="D327" s="67" t="s">
        <v>331</v>
      </c>
      <c r="E327" s="105" t="s">
        <v>332</v>
      </c>
      <c r="F327" s="105"/>
      <c r="G327" s="37" t="s">
        <v>55</v>
      </c>
      <c r="H327" s="38">
        <v>1</v>
      </c>
      <c r="I327" s="39">
        <v>9.75</v>
      </c>
      <c r="J327" s="39">
        <v>9.75</v>
      </c>
    </row>
    <row r="328" spans="1:10" ht="50.1" customHeight="1" x14ac:dyDescent="0.2">
      <c r="A328" s="68" t="s">
        <v>185</v>
      </c>
      <c r="B328" s="40" t="s">
        <v>333</v>
      </c>
      <c r="C328" s="68" t="s">
        <v>40</v>
      </c>
      <c r="D328" s="68" t="s">
        <v>334</v>
      </c>
      <c r="E328" s="106" t="s">
        <v>196</v>
      </c>
      <c r="F328" s="106"/>
      <c r="G328" s="41" t="s">
        <v>55</v>
      </c>
      <c r="H328" s="42">
        <v>1.1000000000000001</v>
      </c>
      <c r="I328" s="43">
        <v>2.61</v>
      </c>
      <c r="J328" s="43">
        <v>2.87</v>
      </c>
    </row>
    <row r="329" spans="1:10" ht="0.95" customHeight="1" x14ac:dyDescent="0.2">
      <c r="A329" s="63"/>
      <c r="B329" s="63"/>
      <c r="C329" s="63"/>
      <c r="D329" s="63"/>
      <c r="E329" s="63" t="s">
        <v>200</v>
      </c>
      <c r="F329" s="44">
        <v>7.72</v>
      </c>
      <c r="G329" s="63" t="s">
        <v>201</v>
      </c>
      <c r="H329" s="44">
        <v>0</v>
      </c>
      <c r="I329" s="63" t="s">
        <v>202</v>
      </c>
      <c r="J329" s="44">
        <v>7.72</v>
      </c>
    </row>
    <row r="330" spans="1:10" ht="18" customHeight="1" x14ac:dyDescent="0.2">
      <c r="A330" s="63"/>
      <c r="B330" s="63"/>
      <c r="C330" s="63"/>
      <c r="D330" s="63"/>
      <c r="E330" s="63" t="s">
        <v>203</v>
      </c>
      <c r="F330" s="44">
        <v>4.63</v>
      </c>
      <c r="G330" s="63"/>
      <c r="H330" s="104" t="s">
        <v>204</v>
      </c>
      <c r="I330" s="104"/>
      <c r="J330" s="44">
        <v>21.47</v>
      </c>
    </row>
    <row r="331" spans="1:10" ht="39" customHeight="1" thickBot="1" x14ac:dyDescent="0.25">
      <c r="A331" s="61"/>
      <c r="B331" s="61"/>
      <c r="C331" s="61"/>
      <c r="D331" s="61"/>
      <c r="E331" s="61"/>
      <c r="F331" s="61"/>
      <c r="G331" s="61" t="s">
        <v>205</v>
      </c>
      <c r="H331" s="45" t="s">
        <v>360</v>
      </c>
      <c r="I331" s="61" t="s">
        <v>207</v>
      </c>
      <c r="J331" s="62">
        <v>165.31</v>
      </c>
    </row>
    <row r="332" spans="1:10" ht="24" customHeight="1" thickTop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</row>
    <row r="333" spans="1:10" ht="26.1" customHeight="1" x14ac:dyDescent="0.2">
      <c r="A333" s="64" t="s">
        <v>134</v>
      </c>
      <c r="B333" s="16" t="s">
        <v>31</v>
      </c>
      <c r="C333" s="64" t="s">
        <v>32</v>
      </c>
      <c r="D333" s="64" t="s">
        <v>9</v>
      </c>
      <c r="E333" s="107" t="s">
        <v>179</v>
      </c>
      <c r="F333" s="107"/>
      <c r="G333" s="17" t="s">
        <v>33</v>
      </c>
      <c r="H333" s="16" t="s">
        <v>10</v>
      </c>
      <c r="I333" s="16" t="s">
        <v>34</v>
      </c>
      <c r="J333" s="16" t="s">
        <v>11</v>
      </c>
    </row>
    <row r="334" spans="1:10" ht="51.95" customHeight="1" x14ac:dyDescent="0.2">
      <c r="A334" s="66" t="s">
        <v>180</v>
      </c>
      <c r="B334" s="24" t="s">
        <v>135</v>
      </c>
      <c r="C334" s="66" t="s">
        <v>40</v>
      </c>
      <c r="D334" s="66" t="s">
        <v>136</v>
      </c>
      <c r="E334" s="108" t="s">
        <v>310</v>
      </c>
      <c r="F334" s="108"/>
      <c r="G334" s="23" t="s">
        <v>55</v>
      </c>
      <c r="H334" s="35">
        <v>1</v>
      </c>
      <c r="I334" s="25">
        <v>19.52</v>
      </c>
      <c r="J334" s="25">
        <v>19.52</v>
      </c>
    </row>
    <row r="335" spans="1:10" ht="25.5" x14ac:dyDescent="0.2">
      <c r="A335" s="67" t="s">
        <v>182</v>
      </c>
      <c r="B335" s="36" t="s">
        <v>313</v>
      </c>
      <c r="C335" s="67" t="s">
        <v>40</v>
      </c>
      <c r="D335" s="67" t="s">
        <v>314</v>
      </c>
      <c r="E335" s="105" t="s">
        <v>181</v>
      </c>
      <c r="F335" s="105"/>
      <c r="G335" s="37" t="s">
        <v>42</v>
      </c>
      <c r="H335" s="38">
        <v>0.105</v>
      </c>
      <c r="I335" s="39">
        <v>25.31</v>
      </c>
      <c r="J335" s="39">
        <v>2.65</v>
      </c>
    </row>
    <row r="336" spans="1:10" ht="14.25" customHeight="1" x14ac:dyDescent="0.2">
      <c r="A336" s="67" t="s">
        <v>182</v>
      </c>
      <c r="B336" s="36" t="s">
        <v>330</v>
      </c>
      <c r="C336" s="67" t="s">
        <v>40</v>
      </c>
      <c r="D336" s="67" t="s">
        <v>331</v>
      </c>
      <c r="E336" s="105" t="s">
        <v>332</v>
      </c>
      <c r="F336" s="105"/>
      <c r="G336" s="37" t="s">
        <v>55</v>
      </c>
      <c r="H336" s="38">
        <v>1</v>
      </c>
      <c r="I336" s="39">
        <v>9.75</v>
      </c>
      <c r="J336" s="39">
        <v>9.75</v>
      </c>
    </row>
    <row r="337" spans="1:10" ht="50.1" customHeight="1" x14ac:dyDescent="0.2">
      <c r="A337" s="67" t="s">
        <v>182</v>
      </c>
      <c r="B337" s="36" t="s">
        <v>311</v>
      </c>
      <c r="C337" s="67" t="s">
        <v>40</v>
      </c>
      <c r="D337" s="67" t="s">
        <v>312</v>
      </c>
      <c r="E337" s="105" t="s">
        <v>181</v>
      </c>
      <c r="F337" s="105"/>
      <c r="G337" s="37" t="s">
        <v>42</v>
      </c>
      <c r="H337" s="38">
        <v>0.105</v>
      </c>
      <c r="I337" s="39">
        <v>21.1</v>
      </c>
      <c r="J337" s="39">
        <v>2.21</v>
      </c>
    </row>
    <row r="338" spans="1:10" ht="0.95" customHeight="1" x14ac:dyDescent="0.2">
      <c r="A338" s="68" t="s">
        <v>185</v>
      </c>
      <c r="B338" s="40" t="s">
        <v>361</v>
      </c>
      <c r="C338" s="68" t="s">
        <v>40</v>
      </c>
      <c r="D338" s="68" t="s">
        <v>362</v>
      </c>
      <c r="E338" s="106" t="s">
        <v>196</v>
      </c>
      <c r="F338" s="106"/>
      <c r="G338" s="41" t="s">
        <v>55</v>
      </c>
      <c r="H338" s="42">
        <v>1.1000000000000001</v>
      </c>
      <c r="I338" s="43">
        <v>4.47</v>
      </c>
      <c r="J338" s="43">
        <v>4.91</v>
      </c>
    </row>
    <row r="339" spans="1:10" ht="18" customHeight="1" x14ac:dyDescent="0.2">
      <c r="A339" s="63"/>
      <c r="B339" s="63"/>
      <c r="C339" s="63"/>
      <c r="D339" s="63"/>
      <c r="E339" s="63" t="s">
        <v>200</v>
      </c>
      <c r="F339" s="44">
        <v>8.19</v>
      </c>
      <c r="G339" s="63" t="s">
        <v>201</v>
      </c>
      <c r="H339" s="44">
        <v>0</v>
      </c>
      <c r="I339" s="63" t="s">
        <v>202</v>
      </c>
      <c r="J339" s="44">
        <v>8.19</v>
      </c>
    </row>
    <row r="340" spans="1:10" ht="26.1" customHeight="1" x14ac:dyDescent="0.2">
      <c r="A340" s="63"/>
      <c r="B340" s="63"/>
      <c r="C340" s="63"/>
      <c r="D340" s="63"/>
      <c r="E340" s="63" t="s">
        <v>203</v>
      </c>
      <c r="F340" s="44">
        <v>5.37</v>
      </c>
      <c r="G340" s="63"/>
      <c r="H340" s="104" t="s">
        <v>204</v>
      </c>
      <c r="I340" s="104"/>
      <c r="J340" s="44">
        <v>24.89</v>
      </c>
    </row>
    <row r="341" spans="1:10" ht="26.1" customHeight="1" thickBot="1" x14ac:dyDescent="0.25">
      <c r="A341" s="61"/>
      <c r="B341" s="61"/>
      <c r="C341" s="61"/>
      <c r="D341" s="61"/>
      <c r="E341" s="61"/>
      <c r="F341" s="61"/>
      <c r="G341" s="61" t="s">
        <v>205</v>
      </c>
      <c r="H341" s="45" t="s">
        <v>363</v>
      </c>
      <c r="I341" s="61" t="s">
        <v>207</v>
      </c>
      <c r="J341" s="62">
        <v>405.2</v>
      </c>
    </row>
    <row r="342" spans="1:10" ht="24" customHeight="1" thickTop="1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</row>
    <row r="343" spans="1:10" ht="26.1" customHeight="1" x14ac:dyDescent="0.2">
      <c r="A343" s="64" t="s">
        <v>137</v>
      </c>
      <c r="B343" s="16" t="s">
        <v>31</v>
      </c>
      <c r="C343" s="64" t="s">
        <v>32</v>
      </c>
      <c r="D343" s="64" t="s">
        <v>9</v>
      </c>
      <c r="E343" s="107" t="s">
        <v>179</v>
      </c>
      <c r="F343" s="107"/>
      <c r="G343" s="17" t="s">
        <v>33</v>
      </c>
      <c r="H343" s="16" t="s">
        <v>10</v>
      </c>
      <c r="I343" s="16" t="s">
        <v>34</v>
      </c>
      <c r="J343" s="16" t="s">
        <v>11</v>
      </c>
    </row>
    <row r="344" spans="1:10" ht="26.1" customHeight="1" x14ac:dyDescent="0.2">
      <c r="A344" s="66" t="s">
        <v>180</v>
      </c>
      <c r="B344" s="24" t="s">
        <v>138</v>
      </c>
      <c r="C344" s="66" t="s">
        <v>40</v>
      </c>
      <c r="D344" s="66" t="s">
        <v>139</v>
      </c>
      <c r="E344" s="108" t="s">
        <v>310</v>
      </c>
      <c r="F344" s="108"/>
      <c r="G344" s="23" t="s">
        <v>55</v>
      </c>
      <c r="H344" s="35">
        <v>1</v>
      </c>
      <c r="I344" s="25">
        <v>7.64</v>
      </c>
      <c r="J344" s="25">
        <v>7.64</v>
      </c>
    </row>
    <row r="345" spans="1:10" ht="25.5" x14ac:dyDescent="0.2">
      <c r="A345" s="67" t="s">
        <v>182</v>
      </c>
      <c r="B345" s="36" t="s">
        <v>311</v>
      </c>
      <c r="C345" s="67" t="s">
        <v>40</v>
      </c>
      <c r="D345" s="67" t="s">
        <v>312</v>
      </c>
      <c r="E345" s="105" t="s">
        <v>181</v>
      </c>
      <c r="F345" s="105"/>
      <c r="G345" s="37" t="s">
        <v>42</v>
      </c>
      <c r="H345" s="38">
        <v>6.7199999999999996E-2</v>
      </c>
      <c r="I345" s="39">
        <v>21.1</v>
      </c>
      <c r="J345" s="39">
        <v>1.41</v>
      </c>
    </row>
    <row r="346" spans="1:10" ht="14.25" customHeight="1" x14ac:dyDescent="0.2">
      <c r="A346" s="67" t="s">
        <v>182</v>
      </c>
      <c r="B346" s="36" t="s">
        <v>313</v>
      </c>
      <c r="C346" s="67" t="s">
        <v>40</v>
      </c>
      <c r="D346" s="67" t="s">
        <v>314</v>
      </c>
      <c r="E346" s="105" t="s">
        <v>181</v>
      </c>
      <c r="F346" s="105"/>
      <c r="G346" s="37" t="s">
        <v>42</v>
      </c>
      <c r="H346" s="38">
        <v>6.7199999999999996E-2</v>
      </c>
      <c r="I346" s="39">
        <v>25.31</v>
      </c>
      <c r="J346" s="39">
        <v>1.7</v>
      </c>
    </row>
    <row r="347" spans="1:10" ht="50.1" customHeight="1" x14ac:dyDescent="0.2">
      <c r="A347" s="68" t="s">
        <v>185</v>
      </c>
      <c r="B347" s="40" t="s">
        <v>364</v>
      </c>
      <c r="C347" s="68" t="s">
        <v>40</v>
      </c>
      <c r="D347" s="68" t="s">
        <v>365</v>
      </c>
      <c r="E347" s="106" t="s">
        <v>196</v>
      </c>
      <c r="F347" s="106"/>
      <c r="G347" s="41" t="s">
        <v>55</v>
      </c>
      <c r="H347" s="42">
        <v>1.1000000000000001</v>
      </c>
      <c r="I347" s="43">
        <v>4.12</v>
      </c>
      <c r="J347" s="43">
        <v>4.53</v>
      </c>
    </row>
    <row r="348" spans="1:10" ht="0.95" customHeight="1" x14ac:dyDescent="0.2">
      <c r="A348" s="63"/>
      <c r="B348" s="63"/>
      <c r="C348" s="63"/>
      <c r="D348" s="63"/>
      <c r="E348" s="63" t="s">
        <v>200</v>
      </c>
      <c r="F348" s="44">
        <v>2.27</v>
      </c>
      <c r="G348" s="63" t="s">
        <v>201</v>
      </c>
      <c r="H348" s="44">
        <v>0</v>
      </c>
      <c r="I348" s="63" t="s">
        <v>202</v>
      </c>
      <c r="J348" s="44">
        <v>2.27</v>
      </c>
    </row>
    <row r="349" spans="1:10" ht="18" customHeight="1" x14ac:dyDescent="0.2">
      <c r="A349" s="63"/>
      <c r="B349" s="63"/>
      <c r="C349" s="63"/>
      <c r="D349" s="63"/>
      <c r="E349" s="63" t="s">
        <v>203</v>
      </c>
      <c r="F349" s="44">
        <v>2.1</v>
      </c>
      <c r="G349" s="63"/>
      <c r="H349" s="104" t="s">
        <v>204</v>
      </c>
      <c r="I349" s="104"/>
      <c r="J349" s="44">
        <v>9.74</v>
      </c>
    </row>
    <row r="350" spans="1:10" ht="26.1" customHeight="1" thickBot="1" x14ac:dyDescent="0.25">
      <c r="A350" s="61"/>
      <c r="B350" s="61"/>
      <c r="C350" s="61"/>
      <c r="D350" s="61"/>
      <c r="E350" s="61"/>
      <c r="F350" s="61"/>
      <c r="G350" s="61" t="s">
        <v>205</v>
      </c>
      <c r="H350" s="45" t="s">
        <v>366</v>
      </c>
      <c r="I350" s="61" t="s">
        <v>207</v>
      </c>
      <c r="J350" s="62">
        <v>38.57</v>
      </c>
    </row>
    <row r="351" spans="1:10" ht="24" customHeight="1" thickTop="1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</row>
    <row r="352" spans="1:10" ht="26.1" customHeight="1" x14ac:dyDescent="0.2">
      <c r="A352" s="64" t="s">
        <v>140</v>
      </c>
      <c r="B352" s="16" t="s">
        <v>31</v>
      </c>
      <c r="C352" s="64" t="s">
        <v>32</v>
      </c>
      <c r="D352" s="64" t="s">
        <v>9</v>
      </c>
      <c r="E352" s="107" t="s">
        <v>179</v>
      </c>
      <c r="F352" s="107"/>
      <c r="G352" s="17" t="s">
        <v>33</v>
      </c>
      <c r="H352" s="16" t="s">
        <v>10</v>
      </c>
      <c r="I352" s="16" t="s">
        <v>34</v>
      </c>
      <c r="J352" s="16" t="s">
        <v>11</v>
      </c>
    </row>
    <row r="353" spans="1:10" ht="26.1" customHeight="1" x14ac:dyDescent="0.2">
      <c r="A353" s="66" t="s">
        <v>180</v>
      </c>
      <c r="B353" s="24" t="s">
        <v>141</v>
      </c>
      <c r="C353" s="66" t="s">
        <v>40</v>
      </c>
      <c r="D353" s="66" t="s">
        <v>142</v>
      </c>
      <c r="E353" s="108" t="s">
        <v>310</v>
      </c>
      <c r="F353" s="108"/>
      <c r="G353" s="23" t="s">
        <v>55</v>
      </c>
      <c r="H353" s="35">
        <v>1</v>
      </c>
      <c r="I353" s="25">
        <v>10.89</v>
      </c>
      <c r="J353" s="25">
        <v>10.89</v>
      </c>
    </row>
    <row r="354" spans="1:10" ht="25.5" x14ac:dyDescent="0.2">
      <c r="A354" s="67" t="s">
        <v>182</v>
      </c>
      <c r="B354" s="36" t="s">
        <v>313</v>
      </c>
      <c r="C354" s="67" t="s">
        <v>40</v>
      </c>
      <c r="D354" s="67" t="s">
        <v>314</v>
      </c>
      <c r="E354" s="105" t="s">
        <v>181</v>
      </c>
      <c r="F354" s="105"/>
      <c r="G354" s="37" t="s">
        <v>42</v>
      </c>
      <c r="H354" s="38">
        <v>9.4500000000000001E-2</v>
      </c>
      <c r="I354" s="39">
        <v>25.31</v>
      </c>
      <c r="J354" s="39">
        <v>2.39</v>
      </c>
    </row>
    <row r="355" spans="1:10" ht="14.25" customHeight="1" x14ac:dyDescent="0.2">
      <c r="A355" s="67" t="s">
        <v>182</v>
      </c>
      <c r="B355" s="36" t="s">
        <v>311</v>
      </c>
      <c r="C355" s="67" t="s">
        <v>40</v>
      </c>
      <c r="D355" s="67" t="s">
        <v>312</v>
      </c>
      <c r="E355" s="105" t="s">
        <v>181</v>
      </c>
      <c r="F355" s="105"/>
      <c r="G355" s="37" t="s">
        <v>42</v>
      </c>
      <c r="H355" s="38">
        <v>9.4500000000000001E-2</v>
      </c>
      <c r="I355" s="39">
        <v>21.1</v>
      </c>
      <c r="J355" s="39">
        <v>1.99</v>
      </c>
    </row>
    <row r="356" spans="1:10" ht="50.1" customHeight="1" x14ac:dyDescent="0.2">
      <c r="A356" s="68" t="s">
        <v>185</v>
      </c>
      <c r="B356" s="40" t="s">
        <v>367</v>
      </c>
      <c r="C356" s="68" t="s">
        <v>40</v>
      </c>
      <c r="D356" s="68" t="s">
        <v>368</v>
      </c>
      <c r="E356" s="106" t="s">
        <v>196</v>
      </c>
      <c r="F356" s="106"/>
      <c r="G356" s="41" t="s">
        <v>55</v>
      </c>
      <c r="H356" s="42">
        <v>1.1000000000000001</v>
      </c>
      <c r="I356" s="43">
        <v>5.92</v>
      </c>
      <c r="J356" s="43">
        <v>6.51</v>
      </c>
    </row>
    <row r="357" spans="1:10" ht="0.95" customHeight="1" x14ac:dyDescent="0.2">
      <c r="A357" s="63"/>
      <c r="B357" s="63"/>
      <c r="C357" s="63"/>
      <c r="D357" s="63"/>
      <c r="E357" s="63" t="s">
        <v>200</v>
      </c>
      <c r="F357" s="44">
        <v>3.2</v>
      </c>
      <c r="G357" s="63" t="s">
        <v>201</v>
      </c>
      <c r="H357" s="44">
        <v>0</v>
      </c>
      <c r="I357" s="63" t="s">
        <v>202</v>
      </c>
      <c r="J357" s="44">
        <v>3.2</v>
      </c>
    </row>
    <row r="358" spans="1:10" ht="18" customHeight="1" x14ac:dyDescent="0.2">
      <c r="A358" s="63"/>
      <c r="B358" s="63"/>
      <c r="C358" s="63"/>
      <c r="D358" s="63"/>
      <c r="E358" s="63" t="s">
        <v>203</v>
      </c>
      <c r="F358" s="44">
        <v>2.99</v>
      </c>
      <c r="G358" s="63"/>
      <c r="H358" s="104" t="s">
        <v>204</v>
      </c>
      <c r="I358" s="104"/>
      <c r="J358" s="44">
        <v>13.88</v>
      </c>
    </row>
    <row r="359" spans="1:10" ht="26.1" customHeight="1" thickBot="1" x14ac:dyDescent="0.25">
      <c r="A359" s="61"/>
      <c r="B359" s="61"/>
      <c r="C359" s="61"/>
      <c r="D359" s="61"/>
      <c r="E359" s="61"/>
      <c r="F359" s="61"/>
      <c r="G359" s="61" t="s">
        <v>205</v>
      </c>
      <c r="H359" s="45" t="s">
        <v>369</v>
      </c>
      <c r="I359" s="61" t="s">
        <v>207</v>
      </c>
      <c r="J359" s="62">
        <v>48.85</v>
      </c>
    </row>
    <row r="360" spans="1:10" ht="26.1" customHeight="1" thickTop="1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</row>
    <row r="361" spans="1:10" ht="24" customHeight="1" x14ac:dyDescent="0.2">
      <c r="A361" s="64" t="s">
        <v>143</v>
      </c>
      <c r="B361" s="16" t="s">
        <v>31</v>
      </c>
      <c r="C361" s="64" t="s">
        <v>32</v>
      </c>
      <c r="D361" s="64" t="s">
        <v>9</v>
      </c>
      <c r="E361" s="107" t="s">
        <v>179</v>
      </c>
      <c r="F361" s="107"/>
      <c r="G361" s="17" t="s">
        <v>33</v>
      </c>
      <c r="H361" s="16" t="s">
        <v>10</v>
      </c>
      <c r="I361" s="16" t="s">
        <v>34</v>
      </c>
      <c r="J361" s="16" t="s">
        <v>11</v>
      </c>
    </row>
    <row r="362" spans="1:10" ht="24" customHeight="1" x14ac:dyDescent="0.2">
      <c r="A362" s="66" t="s">
        <v>180</v>
      </c>
      <c r="B362" s="24" t="s">
        <v>144</v>
      </c>
      <c r="C362" s="66" t="s">
        <v>49</v>
      </c>
      <c r="D362" s="66" t="s">
        <v>145</v>
      </c>
      <c r="E362" s="108" t="s">
        <v>348</v>
      </c>
      <c r="F362" s="108"/>
      <c r="G362" s="23" t="s">
        <v>93</v>
      </c>
      <c r="H362" s="35">
        <v>1</v>
      </c>
      <c r="I362" s="25">
        <v>73.38</v>
      </c>
      <c r="J362" s="25">
        <v>73.38</v>
      </c>
    </row>
    <row r="363" spans="1:10" ht="25.5" x14ac:dyDescent="0.2">
      <c r="A363" s="67" t="s">
        <v>182</v>
      </c>
      <c r="B363" s="36" t="s">
        <v>311</v>
      </c>
      <c r="C363" s="67" t="s">
        <v>40</v>
      </c>
      <c r="D363" s="67" t="s">
        <v>312</v>
      </c>
      <c r="E363" s="105" t="s">
        <v>181</v>
      </c>
      <c r="F363" s="105"/>
      <c r="G363" s="37" t="s">
        <v>42</v>
      </c>
      <c r="H363" s="38">
        <v>0.3237912</v>
      </c>
      <c r="I363" s="39">
        <v>21.1</v>
      </c>
      <c r="J363" s="39">
        <v>6.83</v>
      </c>
    </row>
    <row r="364" spans="1:10" ht="14.25" customHeight="1" x14ac:dyDescent="0.2">
      <c r="A364" s="67" t="s">
        <v>182</v>
      </c>
      <c r="B364" s="36" t="s">
        <v>313</v>
      </c>
      <c r="C364" s="67" t="s">
        <v>40</v>
      </c>
      <c r="D364" s="67" t="s">
        <v>314</v>
      </c>
      <c r="E364" s="105" t="s">
        <v>181</v>
      </c>
      <c r="F364" s="105"/>
      <c r="G364" s="37" t="s">
        <v>42</v>
      </c>
      <c r="H364" s="38">
        <v>0.43172159999999998</v>
      </c>
      <c r="I364" s="39">
        <v>25.31</v>
      </c>
      <c r="J364" s="39">
        <v>10.92</v>
      </c>
    </row>
    <row r="365" spans="1:10" ht="50.1" customHeight="1" x14ac:dyDescent="0.2">
      <c r="A365" s="68" t="s">
        <v>185</v>
      </c>
      <c r="B365" s="40" t="s">
        <v>370</v>
      </c>
      <c r="C365" s="68" t="s">
        <v>49</v>
      </c>
      <c r="D365" s="68" t="s">
        <v>371</v>
      </c>
      <c r="E365" s="106" t="s">
        <v>196</v>
      </c>
      <c r="F365" s="106"/>
      <c r="G365" s="41" t="s">
        <v>93</v>
      </c>
      <c r="H365" s="42">
        <v>1</v>
      </c>
      <c r="I365" s="43">
        <v>47.07</v>
      </c>
      <c r="J365" s="43">
        <v>47.07</v>
      </c>
    </row>
    <row r="366" spans="1:10" ht="0.95" customHeight="1" x14ac:dyDescent="0.2">
      <c r="A366" s="68" t="s">
        <v>185</v>
      </c>
      <c r="B366" s="40" t="s">
        <v>372</v>
      </c>
      <c r="C366" s="68" t="s">
        <v>40</v>
      </c>
      <c r="D366" s="68" t="s">
        <v>373</v>
      </c>
      <c r="E366" s="106" t="s">
        <v>196</v>
      </c>
      <c r="F366" s="106"/>
      <c r="G366" s="41" t="s">
        <v>93</v>
      </c>
      <c r="H366" s="42">
        <v>2</v>
      </c>
      <c r="I366" s="43">
        <v>4.28</v>
      </c>
      <c r="J366" s="43">
        <v>8.56</v>
      </c>
    </row>
    <row r="367" spans="1:10" ht="18" customHeight="1" x14ac:dyDescent="0.2">
      <c r="A367" s="63"/>
      <c r="B367" s="63"/>
      <c r="C367" s="63"/>
      <c r="D367" s="63"/>
      <c r="E367" s="63" t="s">
        <v>200</v>
      </c>
      <c r="F367" s="44">
        <v>13.02</v>
      </c>
      <c r="G367" s="63" t="s">
        <v>201</v>
      </c>
      <c r="H367" s="44">
        <v>0</v>
      </c>
      <c r="I367" s="63" t="s">
        <v>202</v>
      </c>
      <c r="J367" s="44">
        <v>13.02</v>
      </c>
    </row>
    <row r="368" spans="1:10" ht="26.1" customHeight="1" x14ac:dyDescent="0.2">
      <c r="A368" s="63"/>
      <c r="B368" s="63"/>
      <c r="C368" s="63"/>
      <c r="D368" s="63"/>
      <c r="E368" s="63" t="s">
        <v>203</v>
      </c>
      <c r="F368" s="44">
        <v>20.2</v>
      </c>
      <c r="G368" s="63"/>
      <c r="H368" s="104" t="s">
        <v>204</v>
      </c>
      <c r="I368" s="104"/>
      <c r="J368" s="44">
        <v>93.58</v>
      </c>
    </row>
    <row r="369" spans="1:10" ht="24" customHeight="1" thickBot="1" x14ac:dyDescent="0.25">
      <c r="A369" s="61"/>
      <c r="B369" s="61"/>
      <c r="C369" s="61"/>
      <c r="D369" s="61"/>
      <c r="E369" s="61"/>
      <c r="F369" s="61"/>
      <c r="G369" s="61" t="s">
        <v>205</v>
      </c>
      <c r="H369" s="45" t="s">
        <v>374</v>
      </c>
      <c r="I369" s="61" t="s">
        <v>207</v>
      </c>
      <c r="J369" s="62">
        <v>561.48</v>
      </c>
    </row>
    <row r="370" spans="1:10" ht="26.1" customHeight="1" thickTop="1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</row>
    <row r="371" spans="1:10" ht="26.1" customHeight="1" x14ac:dyDescent="0.2">
      <c r="A371" s="64" t="s">
        <v>146</v>
      </c>
      <c r="B371" s="16" t="s">
        <v>31</v>
      </c>
      <c r="C371" s="64" t="s">
        <v>32</v>
      </c>
      <c r="D371" s="64" t="s">
        <v>9</v>
      </c>
      <c r="E371" s="107" t="s">
        <v>179</v>
      </c>
      <c r="F371" s="107"/>
      <c r="G371" s="17" t="s">
        <v>33</v>
      </c>
      <c r="H371" s="16" t="s">
        <v>10</v>
      </c>
      <c r="I371" s="16" t="s">
        <v>34</v>
      </c>
      <c r="J371" s="16" t="s">
        <v>11</v>
      </c>
    </row>
    <row r="372" spans="1:10" ht="38.25" x14ac:dyDescent="0.2">
      <c r="A372" s="66" t="s">
        <v>180</v>
      </c>
      <c r="B372" s="24" t="s">
        <v>147</v>
      </c>
      <c r="C372" s="66" t="s">
        <v>49</v>
      </c>
      <c r="D372" s="66" t="s">
        <v>148</v>
      </c>
      <c r="E372" s="108" t="s">
        <v>345</v>
      </c>
      <c r="F372" s="108"/>
      <c r="G372" s="23" t="s">
        <v>93</v>
      </c>
      <c r="H372" s="35">
        <v>1</v>
      </c>
      <c r="I372" s="25">
        <v>124.87</v>
      </c>
      <c r="J372" s="25">
        <v>124.87</v>
      </c>
    </row>
    <row r="373" spans="1:10" ht="14.25" customHeight="1" x14ac:dyDescent="0.2">
      <c r="A373" s="67" t="s">
        <v>182</v>
      </c>
      <c r="B373" s="36" t="s">
        <v>313</v>
      </c>
      <c r="C373" s="67" t="s">
        <v>40</v>
      </c>
      <c r="D373" s="67" t="s">
        <v>314</v>
      </c>
      <c r="E373" s="105" t="s">
        <v>181</v>
      </c>
      <c r="F373" s="105"/>
      <c r="G373" s="37" t="s">
        <v>42</v>
      </c>
      <c r="H373" s="38">
        <v>2</v>
      </c>
      <c r="I373" s="39">
        <v>25.31</v>
      </c>
      <c r="J373" s="39">
        <v>50.62</v>
      </c>
    </row>
    <row r="374" spans="1:10" ht="50.1" customHeight="1" x14ac:dyDescent="0.2">
      <c r="A374" s="67" t="s">
        <v>182</v>
      </c>
      <c r="B374" s="36" t="s">
        <v>311</v>
      </c>
      <c r="C374" s="67" t="s">
        <v>40</v>
      </c>
      <c r="D374" s="67" t="s">
        <v>312</v>
      </c>
      <c r="E374" s="105" t="s">
        <v>181</v>
      </c>
      <c r="F374" s="105"/>
      <c r="G374" s="37" t="s">
        <v>42</v>
      </c>
      <c r="H374" s="38">
        <v>2</v>
      </c>
      <c r="I374" s="39">
        <v>21.1</v>
      </c>
      <c r="J374" s="39">
        <v>42.2</v>
      </c>
    </row>
    <row r="375" spans="1:10" ht="0.95" customHeight="1" x14ac:dyDescent="0.2">
      <c r="A375" s="68" t="s">
        <v>185</v>
      </c>
      <c r="B375" s="40" t="s">
        <v>375</v>
      </c>
      <c r="C375" s="68" t="s">
        <v>49</v>
      </c>
      <c r="D375" s="68" t="s">
        <v>376</v>
      </c>
      <c r="E375" s="106" t="s">
        <v>196</v>
      </c>
      <c r="F375" s="106"/>
      <c r="G375" s="41" t="s">
        <v>93</v>
      </c>
      <c r="H375" s="42">
        <v>1</v>
      </c>
      <c r="I375" s="43">
        <v>32.049999999999997</v>
      </c>
      <c r="J375" s="43">
        <v>32.049999999999997</v>
      </c>
    </row>
    <row r="376" spans="1:10" ht="18" customHeight="1" x14ac:dyDescent="0.2">
      <c r="A376" s="63"/>
      <c r="B376" s="63"/>
      <c r="C376" s="63"/>
      <c r="D376" s="63"/>
      <c r="E376" s="63" t="s">
        <v>200</v>
      </c>
      <c r="F376" s="44">
        <v>67.78</v>
      </c>
      <c r="G376" s="63" t="s">
        <v>201</v>
      </c>
      <c r="H376" s="44">
        <v>0</v>
      </c>
      <c r="I376" s="63" t="s">
        <v>202</v>
      </c>
      <c r="J376" s="44">
        <v>67.78</v>
      </c>
    </row>
    <row r="377" spans="1:10" ht="26.1" customHeight="1" x14ac:dyDescent="0.2">
      <c r="A377" s="63"/>
      <c r="B377" s="63"/>
      <c r="C377" s="63"/>
      <c r="D377" s="63"/>
      <c r="E377" s="63" t="s">
        <v>203</v>
      </c>
      <c r="F377" s="44">
        <v>34.380000000000003</v>
      </c>
      <c r="G377" s="63"/>
      <c r="H377" s="104" t="s">
        <v>204</v>
      </c>
      <c r="I377" s="104"/>
      <c r="J377" s="44">
        <v>159.25</v>
      </c>
    </row>
    <row r="378" spans="1:10" ht="24" customHeight="1" thickBot="1" x14ac:dyDescent="0.25">
      <c r="A378" s="61"/>
      <c r="B378" s="61"/>
      <c r="C378" s="61"/>
      <c r="D378" s="61"/>
      <c r="E378" s="61"/>
      <c r="F378" s="61"/>
      <c r="G378" s="61" t="s">
        <v>205</v>
      </c>
      <c r="H378" s="45" t="s">
        <v>220</v>
      </c>
      <c r="I378" s="61" t="s">
        <v>207</v>
      </c>
      <c r="J378" s="62">
        <v>159.25</v>
      </c>
    </row>
    <row r="379" spans="1:10" ht="26.1" customHeight="1" thickTop="1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</row>
    <row r="380" spans="1:10" ht="26.1" customHeight="1" x14ac:dyDescent="0.2">
      <c r="A380" s="64" t="s">
        <v>149</v>
      </c>
      <c r="B380" s="16" t="s">
        <v>31</v>
      </c>
      <c r="C380" s="64" t="s">
        <v>32</v>
      </c>
      <c r="D380" s="64" t="s">
        <v>9</v>
      </c>
      <c r="E380" s="107" t="s">
        <v>179</v>
      </c>
      <c r="F380" s="107"/>
      <c r="G380" s="17" t="s">
        <v>33</v>
      </c>
      <c r="H380" s="16" t="s">
        <v>10</v>
      </c>
      <c r="I380" s="16" t="s">
        <v>34</v>
      </c>
      <c r="J380" s="16" t="s">
        <v>11</v>
      </c>
    </row>
    <row r="381" spans="1:10" ht="38.25" x14ac:dyDescent="0.2">
      <c r="A381" s="66" t="s">
        <v>180</v>
      </c>
      <c r="B381" s="24" t="s">
        <v>150</v>
      </c>
      <c r="C381" s="66" t="s">
        <v>49</v>
      </c>
      <c r="D381" s="66" t="s">
        <v>151</v>
      </c>
      <c r="E381" s="108" t="s">
        <v>345</v>
      </c>
      <c r="F381" s="108"/>
      <c r="G381" s="23" t="s">
        <v>55</v>
      </c>
      <c r="H381" s="35">
        <v>1</v>
      </c>
      <c r="I381" s="25">
        <v>26.17</v>
      </c>
      <c r="J381" s="25">
        <v>26.17</v>
      </c>
    </row>
    <row r="382" spans="1:10" ht="14.25" customHeight="1" x14ac:dyDescent="0.2">
      <c r="A382" s="67" t="s">
        <v>182</v>
      </c>
      <c r="B382" s="36" t="s">
        <v>311</v>
      </c>
      <c r="C382" s="67" t="s">
        <v>40</v>
      </c>
      <c r="D382" s="67" t="s">
        <v>312</v>
      </c>
      <c r="E382" s="105" t="s">
        <v>181</v>
      </c>
      <c r="F382" s="105"/>
      <c r="G382" s="37" t="s">
        <v>42</v>
      </c>
      <c r="H382" s="38">
        <v>0.33</v>
      </c>
      <c r="I382" s="39">
        <v>21.1</v>
      </c>
      <c r="J382" s="39">
        <v>6.96</v>
      </c>
    </row>
    <row r="383" spans="1:10" ht="50.1" customHeight="1" x14ac:dyDescent="0.2">
      <c r="A383" s="67" t="s">
        <v>182</v>
      </c>
      <c r="B383" s="36" t="s">
        <v>313</v>
      </c>
      <c r="C383" s="67" t="s">
        <v>40</v>
      </c>
      <c r="D383" s="67" t="s">
        <v>314</v>
      </c>
      <c r="E383" s="105" t="s">
        <v>181</v>
      </c>
      <c r="F383" s="105"/>
      <c r="G383" s="37" t="s">
        <v>42</v>
      </c>
      <c r="H383" s="38">
        <v>0.33</v>
      </c>
      <c r="I383" s="39">
        <v>25.31</v>
      </c>
      <c r="J383" s="39">
        <v>8.35</v>
      </c>
    </row>
    <row r="384" spans="1:10" ht="0.95" customHeight="1" x14ac:dyDescent="0.2">
      <c r="A384" s="68" t="s">
        <v>185</v>
      </c>
      <c r="B384" s="40" t="s">
        <v>377</v>
      </c>
      <c r="C384" s="68" t="s">
        <v>49</v>
      </c>
      <c r="D384" s="68" t="s">
        <v>378</v>
      </c>
      <c r="E384" s="106" t="s">
        <v>196</v>
      </c>
      <c r="F384" s="106"/>
      <c r="G384" s="41" t="s">
        <v>55</v>
      </c>
      <c r="H384" s="42">
        <v>1</v>
      </c>
      <c r="I384" s="43">
        <v>10.86</v>
      </c>
      <c r="J384" s="43">
        <v>10.86</v>
      </c>
    </row>
    <row r="385" spans="1:10" ht="18" customHeight="1" x14ac:dyDescent="0.2">
      <c r="A385" s="63"/>
      <c r="B385" s="63"/>
      <c r="C385" s="63"/>
      <c r="D385" s="63"/>
      <c r="E385" s="63" t="s">
        <v>200</v>
      </c>
      <c r="F385" s="44">
        <v>11.17</v>
      </c>
      <c r="G385" s="63" t="s">
        <v>201</v>
      </c>
      <c r="H385" s="44">
        <v>0</v>
      </c>
      <c r="I385" s="63" t="s">
        <v>202</v>
      </c>
      <c r="J385" s="44">
        <v>11.17</v>
      </c>
    </row>
    <row r="386" spans="1:10" ht="26.1" customHeight="1" x14ac:dyDescent="0.2">
      <c r="A386" s="63"/>
      <c r="B386" s="63"/>
      <c r="C386" s="63"/>
      <c r="D386" s="63"/>
      <c r="E386" s="63" t="s">
        <v>203</v>
      </c>
      <c r="F386" s="44">
        <v>7.2</v>
      </c>
      <c r="G386" s="63"/>
      <c r="H386" s="104" t="s">
        <v>204</v>
      </c>
      <c r="I386" s="104"/>
      <c r="J386" s="44">
        <v>33.369999999999997</v>
      </c>
    </row>
    <row r="387" spans="1:10" ht="24" customHeight="1" thickBot="1" x14ac:dyDescent="0.25">
      <c r="A387" s="61"/>
      <c r="B387" s="61"/>
      <c r="C387" s="61"/>
      <c r="D387" s="61"/>
      <c r="E387" s="61"/>
      <c r="F387" s="61"/>
      <c r="G387" s="61" t="s">
        <v>205</v>
      </c>
      <c r="H387" s="45" t="s">
        <v>220</v>
      </c>
      <c r="I387" s="61" t="s">
        <v>207</v>
      </c>
      <c r="J387" s="62">
        <v>33.369999999999997</v>
      </c>
    </row>
    <row r="388" spans="1:10" ht="26.1" customHeight="1" thickTop="1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</row>
    <row r="389" spans="1:10" ht="15" x14ac:dyDescent="0.2">
      <c r="A389" s="64" t="s">
        <v>152</v>
      </c>
      <c r="B389" s="16" t="s">
        <v>31</v>
      </c>
      <c r="C389" s="64" t="s">
        <v>32</v>
      </c>
      <c r="D389" s="64" t="s">
        <v>9</v>
      </c>
      <c r="E389" s="107" t="s">
        <v>179</v>
      </c>
      <c r="F389" s="107"/>
      <c r="G389" s="17" t="s">
        <v>33</v>
      </c>
      <c r="H389" s="16" t="s">
        <v>10</v>
      </c>
      <c r="I389" s="16" t="s">
        <v>34</v>
      </c>
      <c r="J389" s="16" t="s">
        <v>11</v>
      </c>
    </row>
    <row r="390" spans="1:10" ht="14.25" customHeight="1" x14ac:dyDescent="0.2">
      <c r="A390" s="66" t="s">
        <v>180</v>
      </c>
      <c r="B390" s="24" t="s">
        <v>153</v>
      </c>
      <c r="C390" s="66" t="s">
        <v>49</v>
      </c>
      <c r="D390" s="66" t="s">
        <v>154</v>
      </c>
      <c r="E390" s="108" t="s">
        <v>345</v>
      </c>
      <c r="F390" s="108"/>
      <c r="G390" s="23" t="s">
        <v>93</v>
      </c>
      <c r="H390" s="35">
        <v>1</v>
      </c>
      <c r="I390" s="25">
        <v>45.02</v>
      </c>
      <c r="J390" s="25">
        <v>45.02</v>
      </c>
    </row>
    <row r="391" spans="1:10" ht="50.1" customHeight="1" x14ac:dyDescent="0.2">
      <c r="A391" s="67" t="s">
        <v>182</v>
      </c>
      <c r="B391" s="36" t="s">
        <v>313</v>
      </c>
      <c r="C391" s="67" t="s">
        <v>40</v>
      </c>
      <c r="D391" s="67" t="s">
        <v>314</v>
      </c>
      <c r="E391" s="105" t="s">
        <v>181</v>
      </c>
      <c r="F391" s="105"/>
      <c r="G391" s="37" t="s">
        <v>42</v>
      </c>
      <c r="H391" s="38">
        <v>8.3330000000000001E-2</v>
      </c>
      <c r="I391" s="39">
        <v>25.31</v>
      </c>
      <c r="J391" s="39">
        <v>2.1</v>
      </c>
    </row>
    <row r="392" spans="1:10" ht="0.95" customHeight="1" x14ac:dyDescent="0.2">
      <c r="A392" s="67" t="s">
        <v>182</v>
      </c>
      <c r="B392" s="36" t="s">
        <v>311</v>
      </c>
      <c r="C392" s="67" t="s">
        <v>40</v>
      </c>
      <c r="D392" s="67" t="s">
        <v>312</v>
      </c>
      <c r="E392" s="105" t="s">
        <v>181</v>
      </c>
      <c r="F392" s="105"/>
      <c r="G392" s="37" t="s">
        <v>42</v>
      </c>
      <c r="H392" s="38">
        <v>8.3330000000000001E-2</v>
      </c>
      <c r="I392" s="39">
        <v>21.1</v>
      </c>
      <c r="J392" s="39">
        <v>1.75</v>
      </c>
    </row>
    <row r="393" spans="1:10" ht="18" customHeight="1" x14ac:dyDescent="0.2">
      <c r="A393" s="68" t="s">
        <v>185</v>
      </c>
      <c r="B393" s="40" t="s">
        <v>379</v>
      </c>
      <c r="C393" s="68" t="s">
        <v>40</v>
      </c>
      <c r="D393" s="68" t="s">
        <v>380</v>
      </c>
      <c r="E393" s="106" t="s">
        <v>196</v>
      </c>
      <c r="F393" s="106"/>
      <c r="G393" s="41" t="s">
        <v>93</v>
      </c>
      <c r="H393" s="42">
        <v>1</v>
      </c>
      <c r="I393" s="43">
        <v>41.17</v>
      </c>
      <c r="J393" s="43">
        <v>41.17</v>
      </c>
    </row>
    <row r="394" spans="1:10" ht="26.1" customHeight="1" x14ac:dyDescent="0.2">
      <c r="A394" s="63"/>
      <c r="B394" s="63"/>
      <c r="C394" s="63"/>
      <c r="D394" s="63"/>
      <c r="E394" s="63" t="s">
        <v>200</v>
      </c>
      <c r="F394" s="44">
        <v>2.81</v>
      </c>
      <c r="G394" s="63" t="s">
        <v>201</v>
      </c>
      <c r="H394" s="44">
        <v>0</v>
      </c>
      <c r="I394" s="63" t="s">
        <v>202</v>
      </c>
      <c r="J394" s="44">
        <v>2.81</v>
      </c>
    </row>
    <row r="395" spans="1:10" ht="24" customHeight="1" x14ac:dyDescent="0.2">
      <c r="A395" s="63"/>
      <c r="B395" s="63"/>
      <c r="C395" s="63"/>
      <c r="D395" s="63"/>
      <c r="E395" s="63" t="s">
        <v>203</v>
      </c>
      <c r="F395" s="44">
        <v>12.39</v>
      </c>
      <c r="G395" s="63"/>
      <c r="H395" s="104" t="s">
        <v>204</v>
      </c>
      <c r="I395" s="104"/>
      <c r="J395" s="44">
        <v>57.41</v>
      </c>
    </row>
    <row r="396" spans="1:10" ht="26.1" customHeight="1" thickBot="1" x14ac:dyDescent="0.25">
      <c r="A396" s="61"/>
      <c r="B396" s="61"/>
      <c r="C396" s="61"/>
      <c r="D396" s="61"/>
      <c r="E396" s="61"/>
      <c r="F396" s="61"/>
      <c r="G396" s="61" t="s">
        <v>205</v>
      </c>
      <c r="H396" s="45" t="s">
        <v>381</v>
      </c>
      <c r="I396" s="61" t="s">
        <v>207</v>
      </c>
      <c r="J396" s="62">
        <v>1090.79</v>
      </c>
    </row>
    <row r="397" spans="1:10" ht="26.1" customHeight="1" thickTop="1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</row>
    <row r="398" spans="1:10" ht="15" x14ac:dyDescent="0.2">
      <c r="A398" s="64" t="s">
        <v>155</v>
      </c>
      <c r="B398" s="16" t="s">
        <v>31</v>
      </c>
      <c r="C398" s="64" t="s">
        <v>32</v>
      </c>
      <c r="D398" s="64" t="s">
        <v>9</v>
      </c>
      <c r="E398" s="107" t="s">
        <v>179</v>
      </c>
      <c r="F398" s="107"/>
      <c r="G398" s="17" t="s">
        <v>33</v>
      </c>
      <c r="H398" s="16" t="s">
        <v>10</v>
      </c>
      <c r="I398" s="16" t="s">
        <v>34</v>
      </c>
      <c r="J398" s="16" t="s">
        <v>11</v>
      </c>
    </row>
    <row r="399" spans="1:10" ht="14.25" customHeight="1" x14ac:dyDescent="0.2">
      <c r="A399" s="66" t="s">
        <v>180</v>
      </c>
      <c r="B399" s="24" t="s">
        <v>156</v>
      </c>
      <c r="C399" s="66" t="s">
        <v>49</v>
      </c>
      <c r="D399" s="66" t="s">
        <v>157</v>
      </c>
      <c r="E399" s="108" t="s">
        <v>345</v>
      </c>
      <c r="F399" s="108"/>
      <c r="G399" s="23" t="s">
        <v>93</v>
      </c>
      <c r="H399" s="35">
        <v>1</v>
      </c>
      <c r="I399" s="25">
        <v>86.19</v>
      </c>
      <c r="J399" s="25">
        <v>86.19</v>
      </c>
    </row>
    <row r="400" spans="1:10" ht="50.1" customHeight="1" x14ac:dyDescent="0.2">
      <c r="A400" s="67" t="s">
        <v>182</v>
      </c>
      <c r="B400" s="36" t="s">
        <v>313</v>
      </c>
      <c r="C400" s="67" t="s">
        <v>40</v>
      </c>
      <c r="D400" s="67" t="s">
        <v>314</v>
      </c>
      <c r="E400" s="105" t="s">
        <v>181</v>
      </c>
      <c r="F400" s="105"/>
      <c r="G400" s="37" t="s">
        <v>42</v>
      </c>
      <c r="H400" s="38">
        <v>8.3330000000000001E-2</v>
      </c>
      <c r="I400" s="39">
        <v>25.31</v>
      </c>
      <c r="J400" s="39">
        <v>2.1</v>
      </c>
    </row>
    <row r="401" spans="1:10" ht="0.95" customHeight="1" x14ac:dyDescent="0.2">
      <c r="A401" s="67" t="s">
        <v>182</v>
      </c>
      <c r="B401" s="36" t="s">
        <v>311</v>
      </c>
      <c r="C401" s="67" t="s">
        <v>40</v>
      </c>
      <c r="D401" s="67" t="s">
        <v>312</v>
      </c>
      <c r="E401" s="105" t="s">
        <v>181</v>
      </c>
      <c r="F401" s="105"/>
      <c r="G401" s="37" t="s">
        <v>42</v>
      </c>
      <c r="H401" s="38">
        <v>8.3330000000000001E-2</v>
      </c>
      <c r="I401" s="39">
        <v>21.1</v>
      </c>
      <c r="J401" s="39">
        <v>1.75</v>
      </c>
    </row>
    <row r="402" spans="1:10" ht="24" customHeight="1" x14ac:dyDescent="0.2">
      <c r="A402" s="68" t="s">
        <v>185</v>
      </c>
      <c r="B402" s="40" t="s">
        <v>379</v>
      </c>
      <c r="C402" s="68" t="s">
        <v>40</v>
      </c>
      <c r="D402" s="68" t="s">
        <v>380</v>
      </c>
      <c r="E402" s="106" t="s">
        <v>196</v>
      </c>
      <c r="F402" s="106"/>
      <c r="G402" s="41" t="s">
        <v>93</v>
      </c>
      <c r="H402" s="42">
        <v>2</v>
      </c>
      <c r="I402" s="43">
        <v>41.17</v>
      </c>
      <c r="J402" s="43">
        <v>82.34</v>
      </c>
    </row>
    <row r="403" spans="1:10" ht="18" customHeight="1" x14ac:dyDescent="0.2">
      <c r="A403" s="63"/>
      <c r="B403" s="63"/>
      <c r="C403" s="63"/>
      <c r="D403" s="63"/>
      <c r="E403" s="63" t="s">
        <v>200</v>
      </c>
      <c r="F403" s="44">
        <v>2.81</v>
      </c>
      <c r="G403" s="63" t="s">
        <v>201</v>
      </c>
      <c r="H403" s="44">
        <v>0</v>
      </c>
      <c r="I403" s="63" t="s">
        <v>202</v>
      </c>
      <c r="J403" s="44">
        <v>2.81</v>
      </c>
    </row>
    <row r="404" spans="1:10" ht="24" customHeight="1" x14ac:dyDescent="0.2">
      <c r="A404" s="63"/>
      <c r="B404" s="63"/>
      <c r="C404" s="63"/>
      <c r="D404" s="63"/>
      <c r="E404" s="63" t="s">
        <v>203</v>
      </c>
      <c r="F404" s="44">
        <v>23.73</v>
      </c>
      <c r="G404" s="63"/>
      <c r="H404" s="104" t="s">
        <v>204</v>
      </c>
      <c r="I404" s="104"/>
      <c r="J404" s="44">
        <v>109.92</v>
      </c>
    </row>
    <row r="405" spans="1:10" ht="24" customHeight="1" thickBot="1" x14ac:dyDescent="0.25">
      <c r="A405" s="61"/>
      <c r="B405" s="61"/>
      <c r="C405" s="61"/>
      <c r="D405" s="61"/>
      <c r="E405" s="61"/>
      <c r="F405" s="61"/>
      <c r="G405" s="61" t="s">
        <v>205</v>
      </c>
      <c r="H405" s="45" t="s">
        <v>382</v>
      </c>
      <c r="I405" s="61" t="s">
        <v>207</v>
      </c>
      <c r="J405" s="62">
        <v>1978.56</v>
      </c>
    </row>
    <row r="406" spans="1:10" ht="24" customHeight="1" thickTop="1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</row>
    <row r="407" spans="1:10" ht="15" x14ac:dyDescent="0.2">
      <c r="A407" s="64" t="s">
        <v>158</v>
      </c>
      <c r="B407" s="16" t="s">
        <v>31</v>
      </c>
      <c r="C407" s="64" t="s">
        <v>32</v>
      </c>
      <c r="D407" s="64" t="s">
        <v>9</v>
      </c>
      <c r="E407" s="107" t="s">
        <v>179</v>
      </c>
      <c r="F407" s="107"/>
      <c r="G407" s="17" t="s">
        <v>33</v>
      </c>
      <c r="H407" s="16" t="s">
        <v>10</v>
      </c>
      <c r="I407" s="16" t="s">
        <v>34</v>
      </c>
      <c r="J407" s="16" t="s">
        <v>11</v>
      </c>
    </row>
    <row r="408" spans="1:10" ht="14.25" customHeight="1" x14ac:dyDescent="0.2">
      <c r="A408" s="66" t="s">
        <v>180</v>
      </c>
      <c r="B408" s="24" t="s">
        <v>159</v>
      </c>
      <c r="C408" s="66" t="s">
        <v>49</v>
      </c>
      <c r="D408" s="66" t="s">
        <v>160</v>
      </c>
      <c r="E408" s="108" t="s">
        <v>310</v>
      </c>
      <c r="F408" s="108"/>
      <c r="G408" s="23" t="s">
        <v>161</v>
      </c>
      <c r="H408" s="35">
        <v>1</v>
      </c>
      <c r="I408" s="25">
        <v>13.92</v>
      </c>
      <c r="J408" s="25">
        <v>13.92</v>
      </c>
    </row>
    <row r="409" spans="1:10" ht="50.1" customHeight="1" x14ac:dyDescent="0.2">
      <c r="A409" s="67" t="s">
        <v>182</v>
      </c>
      <c r="B409" s="36" t="s">
        <v>313</v>
      </c>
      <c r="C409" s="67" t="s">
        <v>40</v>
      </c>
      <c r="D409" s="67" t="s">
        <v>314</v>
      </c>
      <c r="E409" s="105" t="s">
        <v>181</v>
      </c>
      <c r="F409" s="105"/>
      <c r="G409" s="37" t="s">
        <v>42</v>
      </c>
      <c r="H409" s="38">
        <v>0.3</v>
      </c>
      <c r="I409" s="39">
        <v>25.31</v>
      </c>
      <c r="J409" s="39">
        <v>7.59</v>
      </c>
    </row>
    <row r="410" spans="1:10" ht="0.95" customHeight="1" x14ac:dyDescent="0.2">
      <c r="A410" s="67" t="s">
        <v>182</v>
      </c>
      <c r="B410" s="36" t="s">
        <v>311</v>
      </c>
      <c r="C410" s="67" t="s">
        <v>40</v>
      </c>
      <c r="D410" s="67" t="s">
        <v>312</v>
      </c>
      <c r="E410" s="105" t="s">
        <v>181</v>
      </c>
      <c r="F410" s="105"/>
      <c r="G410" s="37" t="s">
        <v>42</v>
      </c>
      <c r="H410" s="38">
        <v>0.3</v>
      </c>
      <c r="I410" s="39">
        <v>21.1</v>
      </c>
      <c r="J410" s="39">
        <v>6.33</v>
      </c>
    </row>
    <row r="411" spans="1:10" ht="18" customHeight="1" x14ac:dyDescent="0.2">
      <c r="A411" s="63"/>
      <c r="B411" s="63"/>
      <c r="C411" s="63"/>
      <c r="D411" s="63"/>
      <c r="E411" s="63" t="s">
        <v>200</v>
      </c>
      <c r="F411" s="44">
        <v>10.16</v>
      </c>
      <c r="G411" s="63" t="s">
        <v>201</v>
      </c>
      <c r="H411" s="44">
        <v>0</v>
      </c>
      <c r="I411" s="63" t="s">
        <v>202</v>
      </c>
      <c r="J411" s="44">
        <v>10.16</v>
      </c>
    </row>
    <row r="412" spans="1:10" ht="26.1" customHeight="1" x14ac:dyDescent="0.2">
      <c r="A412" s="63"/>
      <c r="B412" s="63"/>
      <c r="C412" s="63"/>
      <c r="D412" s="63"/>
      <c r="E412" s="63" t="s">
        <v>203</v>
      </c>
      <c r="F412" s="44">
        <v>3.83</v>
      </c>
      <c r="G412" s="63"/>
      <c r="H412" s="104" t="s">
        <v>204</v>
      </c>
      <c r="I412" s="104"/>
      <c r="J412" s="44">
        <v>17.75</v>
      </c>
    </row>
    <row r="413" spans="1:10" ht="24" customHeight="1" thickBot="1" x14ac:dyDescent="0.25">
      <c r="A413" s="61"/>
      <c r="B413" s="61"/>
      <c r="C413" s="61"/>
      <c r="D413" s="61"/>
      <c r="E413" s="61"/>
      <c r="F413" s="61"/>
      <c r="G413" s="61" t="s">
        <v>205</v>
      </c>
      <c r="H413" s="45" t="s">
        <v>383</v>
      </c>
      <c r="I413" s="61" t="s">
        <v>207</v>
      </c>
      <c r="J413" s="62">
        <v>298.73</v>
      </c>
    </row>
    <row r="414" spans="1:10" ht="24" customHeight="1" thickTop="1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</row>
    <row r="415" spans="1:10" ht="24" customHeight="1" x14ac:dyDescent="0.2">
      <c r="A415" s="64" t="s">
        <v>162</v>
      </c>
      <c r="B415" s="16" t="s">
        <v>31</v>
      </c>
      <c r="C415" s="64" t="s">
        <v>32</v>
      </c>
      <c r="D415" s="64" t="s">
        <v>9</v>
      </c>
      <c r="E415" s="107" t="s">
        <v>179</v>
      </c>
      <c r="F415" s="107"/>
      <c r="G415" s="17" t="s">
        <v>33</v>
      </c>
      <c r="H415" s="16" t="s">
        <v>10</v>
      </c>
      <c r="I415" s="16" t="s">
        <v>34</v>
      </c>
      <c r="J415" s="16" t="s">
        <v>11</v>
      </c>
    </row>
    <row r="416" spans="1:10" ht="24" customHeight="1" x14ac:dyDescent="0.2">
      <c r="A416" s="66" t="s">
        <v>180</v>
      </c>
      <c r="B416" s="24" t="s">
        <v>163</v>
      </c>
      <c r="C416" s="66" t="s">
        <v>49</v>
      </c>
      <c r="D416" s="66" t="s">
        <v>164</v>
      </c>
      <c r="E416" s="108" t="s">
        <v>345</v>
      </c>
      <c r="F416" s="108"/>
      <c r="G416" s="23" t="s">
        <v>93</v>
      </c>
      <c r="H416" s="35">
        <v>1</v>
      </c>
      <c r="I416" s="25">
        <v>220.66</v>
      </c>
      <c r="J416" s="25">
        <v>220.66</v>
      </c>
    </row>
    <row r="417" spans="1:10" ht="25.5" x14ac:dyDescent="0.2">
      <c r="A417" s="67" t="s">
        <v>182</v>
      </c>
      <c r="B417" s="36" t="s">
        <v>313</v>
      </c>
      <c r="C417" s="67" t="s">
        <v>40</v>
      </c>
      <c r="D417" s="67" t="s">
        <v>314</v>
      </c>
      <c r="E417" s="105" t="s">
        <v>181</v>
      </c>
      <c r="F417" s="105"/>
      <c r="G417" s="37" t="s">
        <v>42</v>
      </c>
      <c r="H417" s="38">
        <v>1</v>
      </c>
      <c r="I417" s="39">
        <v>25.31</v>
      </c>
      <c r="J417" s="39">
        <v>25.31</v>
      </c>
    </row>
    <row r="418" spans="1:10" ht="14.25" customHeight="1" x14ac:dyDescent="0.2">
      <c r="A418" s="67" t="s">
        <v>182</v>
      </c>
      <c r="B418" s="36" t="s">
        <v>311</v>
      </c>
      <c r="C418" s="67" t="s">
        <v>40</v>
      </c>
      <c r="D418" s="67" t="s">
        <v>312</v>
      </c>
      <c r="E418" s="105" t="s">
        <v>181</v>
      </c>
      <c r="F418" s="105"/>
      <c r="G418" s="37" t="s">
        <v>42</v>
      </c>
      <c r="H418" s="38">
        <v>1</v>
      </c>
      <c r="I418" s="39">
        <v>21.1</v>
      </c>
      <c r="J418" s="39">
        <v>21.1</v>
      </c>
    </row>
    <row r="419" spans="1:10" ht="50.1" customHeight="1" x14ac:dyDescent="0.2">
      <c r="A419" s="68" t="s">
        <v>185</v>
      </c>
      <c r="B419" s="40" t="s">
        <v>384</v>
      </c>
      <c r="C419" s="68" t="s">
        <v>49</v>
      </c>
      <c r="D419" s="68" t="s">
        <v>385</v>
      </c>
      <c r="E419" s="106" t="s">
        <v>196</v>
      </c>
      <c r="F419" s="106"/>
      <c r="G419" s="41" t="s">
        <v>93</v>
      </c>
      <c r="H419" s="42">
        <v>1</v>
      </c>
      <c r="I419" s="43">
        <v>174.25</v>
      </c>
      <c r="J419" s="43">
        <v>174.25</v>
      </c>
    </row>
    <row r="420" spans="1:10" ht="0.95" customHeight="1" x14ac:dyDescent="0.2">
      <c r="A420" s="63"/>
      <c r="B420" s="63"/>
      <c r="C420" s="63"/>
      <c r="D420" s="63"/>
      <c r="E420" s="63" t="s">
        <v>200</v>
      </c>
      <c r="F420" s="44">
        <v>33.89</v>
      </c>
      <c r="G420" s="63" t="s">
        <v>201</v>
      </c>
      <c r="H420" s="44">
        <v>0</v>
      </c>
      <c r="I420" s="63" t="s">
        <v>202</v>
      </c>
      <c r="J420" s="44">
        <v>33.89</v>
      </c>
    </row>
    <row r="421" spans="1:10" ht="18" customHeight="1" x14ac:dyDescent="0.2">
      <c r="A421" s="63"/>
      <c r="B421" s="63"/>
      <c r="C421" s="63"/>
      <c r="D421" s="63"/>
      <c r="E421" s="63" t="s">
        <v>203</v>
      </c>
      <c r="F421" s="44">
        <v>60.76</v>
      </c>
      <c r="G421" s="63"/>
      <c r="H421" s="104" t="s">
        <v>204</v>
      </c>
      <c r="I421" s="104"/>
      <c r="J421" s="44">
        <v>281.42</v>
      </c>
    </row>
    <row r="422" spans="1:10" ht="26.1" customHeight="1" thickBot="1" x14ac:dyDescent="0.25">
      <c r="A422" s="61"/>
      <c r="B422" s="61"/>
      <c r="C422" s="61"/>
      <c r="D422" s="61"/>
      <c r="E422" s="61"/>
      <c r="F422" s="61"/>
      <c r="G422" s="61" t="s">
        <v>205</v>
      </c>
      <c r="H422" s="45" t="s">
        <v>220</v>
      </c>
      <c r="I422" s="61" t="s">
        <v>207</v>
      </c>
      <c r="J422" s="62">
        <v>281.42</v>
      </c>
    </row>
    <row r="423" spans="1:10" ht="24" customHeight="1" thickTop="1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</row>
    <row r="424" spans="1:10" x14ac:dyDescent="0.2">
      <c r="A424" s="65" t="s">
        <v>25</v>
      </c>
      <c r="B424" s="65"/>
      <c r="C424" s="65"/>
      <c r="D424" s="65" t="s">
        <v>26</v>
      </c>
      <c r="E424" s="65"/>
      <c r="F424" s="109"/>
      <c r="G424" s="109"/>
      <c r="H424" s="20"/>
      <c r="I424" s="65"/>
      <c r="J424" s="21">
        <v>918.16</v>
      </c>
    </row>
    <row r="425" spans="1:10" ht="14.25" customHeight="1" x14ac:dyDescent="0.2">
      <c r="A425" s="64" t="s">
        <v>165</v>
      </c>
      <c r="B425" s="16" t="s">
        <v>31</v>
      </c>
      <c r="C425" s="64" t="s">
        <v>32</v>
      </c>
      <c r="D425" s="64" t="s">
        <v>9</v>
      </c>
      <c r="E425" s="107" t="s">
        <v>179</v>
      </c>
      <c r="F425" s="107"/>
      <c r="G425" s="17" t="s">
        <v>33</v>
      </c>
      <c r="H425" s="16" t="s">
        <v>10</v>
      </c>
      <c r="I425" s="16" t="s">
        <v>34</v>
      </c>
      <c r="J425" s="16" t="s">
        <v>11</v>
      </c>
    </row>
    <row r="426" spans="1:10" ht="50.1" customHeight="1" x14ac:dyDescent="0.2">
      <c r="A426" s="66" t="s">
        <v>180</v>
      </c>
      <c r="B426" s="24" t="s">
        <v>166</v>
      </c>
      <c r="C426" s="66" t="s">
        <v>49</v>
      </c>
      <c r="D426" s="66" t="s">
        <v>167</v>
      </c>
      <c r="E426" s="108" t="s">
        <v>181</v>
      </c>
      <c r="F426" s="108"/>
      <c r="G426" s="23" t="s">
        <v>168</v>
      </c>
      <c r="H426" s="35">
        <v>1</v>
      </c>
      <c r="I426" s="25">
        <v>592</v>
      </c>
      <c r="J426" s="25">
        <v>592</v>
      </c>
    </row>
    <row r="427" spans="1:10" ht="0.95" customHeight="1" x14ac:dyDescent="0.2">
      <c r="A427" s="67" t="s">
        <v>182</v>
      </c>
      <c r="B427" s="36" t="s">
        <v>386</v>
      </c>
      <c r="C427" s="67" t="s">
        <v>40</v>
      </c>
      <c r="D427" s="67" t="s">
        <v>387</v>
      </c>
      <c r="E427" s="105" t="s">
        <v>181</v>
      </c>
      <c r="F427" s="105"/>
      <c r="G427" s="37" t="s">
        <v>42</v>
      </c>
      <c r="H427" s="38">
        <v>16</v>
      </c>
      <c r="I427" s="39">
        <v>20.75</v>
      </c>
      <c r="J427" s="39">
        <v>332</v>
      </c>
    </row>
    <row r="428" spans="1:10" ht="18" customHeight="1" x14ac:dyDescent="0.2">
      <c r="A428" s="68" t="s">
        <v>185</v>
      </c>
      <c r="B428" s="40" t="s">
        <v>388</v>
      </c>
      <c r="C428" s="68" t="s">
        <v>49</v>
      </c>
      <c r="D428" s="68" t="s">
        <v>389</v>
      </c>
      <c r="E428" s="106" t="s">
        <v>390</v>
      </c>
      <c r="F428" s="106"/>
      <c r="G428" s="41" t="s">
        <v>168</v>
      </c>
      <c r="H428" s="42">
        <v>1</v>
      </c>
      <c r="I428" s="43">
        <v>260</v>
      </c>
      <c r="J428" s="43">
        <v>260</v>
      </c>
    </row>
    <row r="429" spans="1:10" ht="26.1" customHeight="1" x14ac:dyDescent="0.2">
      <c r="A429" s="63"/>
      <c r="B429" s="63"/>
      <c r="C429" s="63"/>
      <c r="D429" s="63"/>
      <c r="E429" s="63" t="s">
        <v>200</v>
      </c>
      <c r="F429" s="44">
        <v>232.32</v>
      </c>
      <c r="G429" s="63" t="s">
        <v>201</v>
      </c>
      <c r="H429" s="44">
        <v>0</v>
      </c>
      <c r="I429" s="63" t="s">
        <v>202</v>
      </c>
      <c r="J429" s="44">
        <v>232.32</v>
      </c>
    </row>
    <row r="430" spans="1:10" ht="24" customHeight="1" x14ac:dyDescent="0.2">
      <c r="A430" s="63"/>
      <c r="B430" s="63"/>
      <c r="C430" s="63"/>
      <c r="D430" s="63"/>
      <c r="E430" s="63" t="s">
        <v>203</v>
      </c>
      <c r="F430" s="44">
        <v>163.03</v>
      </c>
      <c r="G430" s="63"/>
      <c r="H430" s="104" t="s">
        <v>204</v>
      </c>
      <c r="I430" s="104"/>
      <c r="J430" s="44">
        <v>755.03</v>
      </c>
    </row>
    <row r="431" spans="1:10" ht="15" thickBot="1" x14ac:dyDescent="0.25">
      <c r="A431" s="61"/>
      <c r="B431" s="61"/>
      <c r="C431" s="61"/>
      <c r="D431" s="61"/>
      <c r="E431" s="61"/>
      <c r="F431" s="61"/>
      <c r="G431" s="61" t="s">
        <v>205</v>
      </c>
      <c r="H431" s="45" t="s">
        <v>220</v>
      </c>
      <c r="I431" s="61" t="s">
        <v>207</v>
      </c>
      <c r="J431" s="62">
        <v>755.03</v>
      </c>
    </row>
    <row r="432" spans="1:10" ht="14.25" customHeight="1" thickTop="1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</row>
    <row r="433" spans="1:10" ht="50.1" customHeight="1" x14ac:dyDescent="0.2">
      <c r="A433" s="64" t="s">
        <v>169</v>
      </c>
      <c r="B433" s="16" t="s">
        <v>31</v>
      </c>
      <c r="C433" s="64" t="s">
        <v>32</v>
      </c>
      <c r="D433" s="64" t="s">
        <v>9</v>
      </c>
      <c r="E433" s="107" t="s">
        <v>179</v>
      </c>
      <c r="F433" s="107"/>
      <c r="G433" s="17" t="s">
        <v>33</v>
      </c>
      <c r="H433" s="16" t="s">
        <v>10</v>
      </c>
      <c r="I433" s="16" t="s">
        <v>34</v>
      </c>
      <c r="J433" s="16" t="s">
        <v>11</v>
      </c>
    </row>
    <row r="434" spans="1:10" ht="25.5" x14ac:dyDescent="0.2">
      <c r="A434" s="66" t="s">
        <v>180</v>
      </c>
      <c r="B434" s="24" t="s">
        <v>170</v>
      </c>
      <c r="C434" s="66" t="s">
        <v>40</v>
      </c>
      <c r="D434" s="66" t="s">
        <v>171</v>
      </c>
      <c r="E434" s="108" t="s">
        <v>181</v>
      </c>
      <c r="F434" s="108"/>
      <c r="G434" s="23" t="s">
        <v>59</v>
      </c>
      <c r="H434" s="35">
        <v>1</v>
      </c>
      <c r="I434" s="25">
        <v>2.95</v>
      </c>
      <c r="J434" s="25">
        <v>2.95</v>
      </c>
    </row>
    <row r="435" spans="1:10" s="60" customFormat="1" ht="25.5" x14ac:dyDescent="0.2">
      <c r="A435" s="67" t="s">
        <v>182</v>
      </c>
      <c r="B435" s="36" t="s">
        <v>222</v>
      </c>
      <c r="C435" s="67" t="s">
        <v>40</v>
      </c>
      <c r="D435" s="67" t="s">
        <v>223</v>
      </c>
      <c r="E435" s="105" t="s">
        <v>181</v>
      </c>
      <c r="F435" s="105"/>
      <c r="G435" s="37" t="s">
        <v>42</v>
      </c>
      <c r="H435" s="38">
        <v>9.1999999999999998E-2</v>
      </c>
      <c r="I435" s="39">
        <v>19.649999999999999</v>
      </c>
      <c r="J435" s="39">
        <v>1.8</v>
      </c>
    </row>
    <row r="436" spans="1:10" s="60" customFormat="1" x14ac:dyDescent="0.2">
      <c r="A436" s="68" t="s">
        <v>185</v>
      </c>
      <c r="B436" s="40" t="s">
        <v>284</v>
      </c>
      <c r="C436" s="68" t="s">
        <v>40</v>
      </c>
      <c r="D436" s="68" t="s">
        <v>285</v>
      </c>
      <c r="E436" s="106" t="s">
        <v>196</v>
      </c>
      <c r="F436" s="106"/>
      <c r="G436" s="41" t="s">
        <v>279</v>
      </c>
      <c r="H436" s="42">
        <v>2.3E-2</v>
      </c>
      <c r="I436" s="43">
        <v>21.69</v>
      </c>
      <c r="J436" s="43">
        <v>0.49</v>
      </c>
    </row>
    <row r="437" spans="1:10" s="60" customFormat="1" x14ac:dyDescent="0.2">
      <c r="A437" s="68" t="s">
        <v>185</v>
      </c>
      <c r="B437" s="40" t="s">
        <v>391</v>
      </c>
      <c r="C437" s="68" t="s">
        <v>40</v>
      </c>
      <c r="D437" s="68" t="s">
        <v>392</v>
      </c>
      <c r="E437" s="106" t="s">
        <v>196</v>
      </c>
      <c r="F437" s="106"/>
      <c r="G437" s="41" t="s">
        <v>279</v>
      </c>
      <c r="H437" s="42">
        <v>1.0999999999999999E-2</v>
      </c>
      <c r="I437" s="43">
        <v>53.43</v>
      </c>
      <c r="J437" s="43">
        <v>0.57999999999999996</v>
      </c>
    </row>
    <row r="438" spans="1:10" s="60" customFormat="1" x14ac:dyDescent="0.2">
      <c r="A438" s="68" t="s">
        <v>185</v>
      </c>
      <c r="B438" s="40" t="s">
        <v>393</v>
      </c>
      <c r="C438" s="68" t="s">
        <v>40</v>
      </c>
      <c r="D438" s="68" t="s">
        <v>394</v>
      </c>
      <c r="E438" s="106" t="s">
        <v>196</v>
      </c>
      <c r="F438" s="106"/>
      <c r="G438" s="41" t="s">
        <v>279</v>
      </c>
      <c r="H438" s="42">
        <v>6.0000000000000001E-3</v>
      </c>
      <c r="I438" s="43">
        <v>13.41</v>
      </c>
      <c r="J438" s="43">
        <v>0.08</v>
      </c>
    </row>
    <row r="439" spans="1:10" s="60" customFormat="1" x14ac:dyDescent="0.2">
      <c r="A439" s="63"/>
      <c r="B439" s="63"/>
      <c r="C439" s="63"/>
      <c r="D439" s="63"/>
      <c r="E439" s="63" t="s">
        <v>200</v>
      </c>
      <c r="F439" s="44">
        <v>1.24</v>
      </c>
      <c r="G439" s="63" t="s">
        <v>201</v>
      </c>
      <c r="H439" s="44">
        <v>0</v>
      </c>
      <c r="I439" s="63" t="s">
        <v>202</v>
      </c>
      <c r="J439" s="44">
        <v>1.24</v>
      </c>
    </row>
    <row r="440" spans="1:10" s="60" customFormat="1" x14ac:dyDescent="0.2">
      <c r="A440" s="63"/>
      <c r="B440" s="63"/>
      <c r="C440" s="63"/>
      <c r="D440" s="63"/>
      <c r="E440" s="63" t="s">
        <v>203</v>
      </c>
      <c r="F440" s="44">
        <v>0.81</v>
      </c>
      <c r="G440" s="63"/>
      <c r="H440" s="104" t="s">
        <v>204</v>
      </c>
      <c r="I440" s="104"/>
      <c r="J440" s="44">
        <v>3.76</v>
      </c>
    </row>
    <row r="441" spans="1:10" s="60" customFormat="1" ht="15" thickBot="1" x14ac:dyDescent="0.25">
      <c r="A441" s="61"/>
      <c r="B441" s="61"/>
      <c r="C441" s="61"/>
      <c r="D441" s="61"/>
      <c r="E441" s="61"/>
      <c r="F441" s="61"/>
      <c r="G441" s="61" t="s">
        <v>205</v>
      </c>
      <c r="H441" s="45" t="s">
        <v>395</v>
      </c>
      <c r="I441" s="61" t="s">
        <v>207</v>
      </c>
      <c r="J441" s="62">
        <v>6.01</v>
      </c>
    </row>
    <row r="442" spans="1:10" s="60" customFormat="1" ht="15" thickTop="1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</row>
    <row r="443" spans="1:10" s="60" customFormat="1" ht="15" x14ac:dyDescent="0.2">
      <c r="A443" s="64" t="s">
        <v>172</v>
      </c>
      <c r="B443" s="16" t="s">
        <v>31</v>
      </c>
      <c r="C443" s="64" t="s">
        <v>32</v>
      </c>
      <c r="D443" s="64" t="s">
        <v>9</v>
      </c>
      <c r="E443" s="107" t="s">
        <v>179</v>
      </c>
      <c r="F443" s="107"/>
      <c r="G443" s="17" t="s">
        <v>33</v>
      </c>
      <c r="H443" s="16" t="s">
        <v>10</v>
      </c>
      <c r="I443" s="16" t="s">
        <v>34</v>
      </c>
      <c r="J443" s="16" t="s">
        <v>11</v>
      </c>
    </row>
    <row r="444" spans="1:10" s="60" customFormat="1" ht="25.5" x14ac:dyDescent="0.2">
      <c r="A444" s="66" t="s">
        <v>180</v>
      </c>
      <c r="B444" s="24" t="s">
        <v>173</v>
      </c>
      <c r="C444" s="66" t="s">
        <v>40</v>
      </c>
      <c r="D444" s="66" t="s">
        <v>174</v>
      </c>
      <c r="E444" s="108" t="s">
        <v>181</v>
      </c>
      <c r="F444" s="108"/>
      <c r="G444" s="23" t="s">
        <v>59</v>
      </c>
      <c r="H444" s="35">
        <v>1</v>
      </c>
      <c r="I444" s="25">
        <v>1.9</v>
      </c>
      <c r="J444" s="25">
        <v>1.9</v>
      </c>
    </row>
    <row r="445" spans="1:10" s="60" customFormat="1" ht="25.5" x14ac:dyDescent="0.2">
      <c r="A445" s="67" t="s">
        <v>182</v>
      </c>
      <c r="B445" s="36" t="s">
        <v>222</v>
      </c>
      <c r="C445" s="67" t="s">
        <v>40</v>
      </c>
      <c r="D445" s="67" t="s">
        <v>223</v>
      </c>
      <c r="E445" s="105" t="s">
        <v>181</v>
      </c>
      <c r="F445" s="105"/>
      <c r="G445" s="37" t="s">
        <v>42</v>
      </c>
      <c r="H445" s="38">
        <v>9.7000000000000003E-2</v>
      </c>
      <c r="I445" s="39">
        <v>19.649999999999999</v>
      </c>
      <c r="J445" s="39">
        <v>1.9</v>
      </c>
    </row>
    <row r="446" spans="1:10" s="60" customFormat="1" x14ac:dyDescent="0.2">
      <c r="A446" s="63"/>
      <c r="B446" s="63"/>
      <c r="C446" s="63"/>
      <c r="D446" s="63"/>
      <c r="E446" s="63" t="s">
        <v>200</v>
      </c>
      <c r="F446" s="44">
        <v>1.31</v>
      </c>
      <c r="G446" s="63" t="s">
        <v>201</v>
      </c>
      <c r="H446" s="44">
        <v>0</v>
      </c>
      <c r="I446" s="63" t="s">
        <v>202</v>
      </c>
      <c r="J446" s="44">
        <v>1.31</v>
      </c>
    </row>
    <row r="447" spans="1:10" s="60" customFormat="1" x14ac:dyDescent="0.2">
      <c r="A447" s="63"/>
      <c r="B447" s="63"/>
      <c r="C447" s="63"/>
      <c r="D447" s="63"/>
      <c r="E447" s="63" t="s">
        <v>203</v>
      </c>
      <c r="F447" s="44">
        <v>0.52</v>
      </c>
      <c r="G447" s="63"/>
      <c r="H447" s="104" t="s">
        <v>204</v>
      </c>
      <c r="I447" s="104"/>
      <c r="J447" s="44">
        <v>2.42</v>
      </c>
    </row>
    <row r="448" spans="1:10" s="60" customFormat="1" ht="15" thickBot="1" x14ac:dyDescent="0.25">
      <c r="A448" s="61"/>
      <c r="B448" s="61"/>
      <c r="C448" s="61"/>
      <c r="D448" s="61"/>
      <c r="E448" s="61"/>
      <c r="F448" s="61"/>
      <c r="G448" s="61" t="s">
        <v>205</v>
      </c>
      <c r="H448" s="45" t="s">
        <v>281</v>
      </c>
      <c r="I448" s="61" t="s">
        <v>207</v>
      </c>
      <c r="J448" s="62">
        <v>125.08</v>
      </c>
    </row>
    <row r="449" spans="1:10" s="60" customFormat="1" ht="15" thickTop="1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</row>
    <row r="450" spans="1:10" s="60" customFormat="1" ht="15" x14ac:dyDescent="0.2">
      <c r="A450" s="64" t="s">
        <v>175</v>
      </c>
      <c r="B450" s="16" t="s">
        <v>31</v>
      </c>
      <c r="C450" s="64" t="s">
        <v>32</v>
      </c>
      <c r="D450" s="64" t="s">
        <v>9</v>
      </c>
      <c r="E450" s="107" t="s">
        <v>179</v>
      </c>
      <c r="F450" s="107"/>
      <c r="G450" s="17" t="s">
        <v>33</v>
      </c>
      <c r="H450" s="16" t="s">
        <v>10</v>
      </c>
      <c r="I450" s="16" t="s">
        <v>34</v>
      </c>
      <c r="J450" s="16" t="s">
        <v>11</v>
      </c>
    </row>
    <row r="451" spans="1:10" s="60" customFormat="1" ht="25.5" x14ac:dyDescent="0.2">
      <c r="A451" s="66" t="s">
        <v>180</v>
      </c>
      <c r="B451" s="24" t="s">
        <v>176</v>
      </c>
      <c r="C451" s="66" t="s">
        <v>40</v>
      </c>
      <c r="D451" s="66" t="s">
        <v>177</v>
      </c>
      <c r="E451" s="108" t="s">
        <v>181</v>
      </c>
      <c r="F451" s="108"/>
      <c r="G451" s="23" t="s">
        <v>59</v>
      </c>
      <c r="H451" s="35">
        <v>1</v>
      </c>
      <c r="I451" s="25">
        <v>0.49</v>
      </c>
      <c r="J451" s="25">
        <v>0.49</v>
      </c>
    </row>
    <row r="452" spans="1:10" s="60" customFormat="1" ht="25.5" x14ac:dyDescent="0.2">
      <c r="A452" s="67" t="s">
        <v>182</v>
      </c>
      <c r="B452" s="36" t="s">
        <v>222</v>
      </c>
      <c r="C452" s="67" t="s">
        <v>40</v>
      </c>
      <c r="D452" s="67" t="s">
        <v>223</v>
      </c>
      <c r="E452" s="105" t="s">
        <v>181</v>
      </c>
      <c r="F452" s="105"/>
      <c r="G452" s="37" t="s">
        <v>42</v>
      </c>
      <c r="H452" s="38">
        <v>2.5000000000000001E-2</v>
      </c>
      <c r="I452" s="39">
        <v>19.649999999999999</v>
      </c>
      <c r="J452" s="39">
        <v>0.49</v>
      </c>
    </row>
    <row r="453" spans="1:10" s="60" customFormat="1" x14ac:dyDescent="0.2">
      <c r="A453" s="63"/>
      <c r="B453" s="63"/>
      <c r="C453" s="63"/>
      <c r="D453" s="63"/>
      <c r="E453" s="63" t="s">
        <v>200</v>
      </c>
      <c r="F453" s="44">
        <v>0.33</v>
      </c>
      <c r="G453" s="63" t="s">
        <v>201</v>
      </c>
      <c r="H453" s="44">
        <v>0</v>
      </c>
      <c r="I453" s="63" t="s">
        <v>202</v>
      </c>
      <c r="J453" s="44">
        <v>0.33</v>
      </c>
    </row>
    <row r="454" spans="1:10" s="60" customFormat="1" x14ac:dyDescent="0.2">
      <c r="A454" s="63"/>
      <c r="B454" s="63"/>
      <c r="C454" s="63"/>
      <c r="D454" s="63"/>
      <c r="E454" s="63" t="s">
        <v>203</v>
      </c>
      <c r="F454" s="44">
        <v>0.13</v>
      </c>
      <c r="G454" s="63"/>
      <c r="H454" s="104" t="s">
        <v>204</v>
      </c>
      <c r="I454" s="104"/>
      <c r="J454" s="44">
        <v>0.62</v>
      </c>
    </row>
    <row r="455" spans="1:10" s="60" customFormat="1" x14ac:dyDescent="0.2">
      <c r="A455" s="61"/>
      <c r="B455" s="61"/>
      <c r="C455" s="61"/>
      <c r="D455" s="61"/>
      <c r="E455" s="61"/>
      <c r="F455" s="61"/>
      <c r="G455" s="61" t="s">
        <v>205</v>
      </c>
      <c r="H455" s="45" t="s">
        <v>281</v>
      </c>
      <c r="I455" s="61" t="s">
        <v>207</v>
      </c>
      <c r="J455" s="62">
        <v>32.04</v>
      </c>
    </row>
    <row r="456" spans="1:10" x14ac:dyDescent="0.2">
      <c r="A456" s="31"/>
      <c r="B456" s="31"/>
      <c r="C456" s="31"/>
      <c r="D456" s="31"/>
      <c r="E456" s="31"/>
      <c r="F456" s="31"/>
      <c r="G456" s="31"/>
      <c r="H456" s="31"/>
      <c r="I456" s="31"/>
      <c r="J456" s="31"/>
    </row>
    <row r="457" spans="1:10" x14ac:dyDescent="0.2">
      <c r="A457" s="98"/>
      <c r="B457" s="98"/>
      <c r="C457" s="98"/>
      <c r="D457" s="32"/>
      <c r="E457" s="33"/>
      <c r="F457" s="99" t="s">
        <v>27</v>
      </c>
      <c r="G457" s="98"/>
      <c r="H457" s="100">
        <f>Sintético!H59</f>
        <v>31360.14</v>
      </c>
      <c r="I457" s="98"/>
      <c r="J457" s="98"/>
    </row>
    <row r="458" spans="1:10" x14ac:dyDescent="0.2">
      <c r="A458" s="98"/>
      <c r="B458" s="98"/>
      <c r="C458" s="98"/>
      <c r="D458" s="32"/>
      <c r="E458" s="33"/>
      <c r="F458" s="99" t="s">
        <v>28</v>
      </c>
      <c r="G458" s="98"/>
      <c r="H458" s="100">
        <f>Sintético!H60</f>
        <v>8632.1200000000008</v>
      </c>
      <c r="I458" s="98"/>
      <c r="J458" s="98"/>
    </row>
    <row r="459" spans="1:10" x14ac:dyDescent="0.2">
      <c r="A459" s="98"/>
      <c r="B459" s="98"/>
      <c r="C459" s="98"/>
      <c r="D459" s="32"/>
      <c r="E459" s="33"/>
      <c r="F459" s="99" t="s">
        <v>29</v>
      </c>
      <c r="G459" s="98"/>
      <c r="H459" s="100">
        <f>Sintético!H61</f>
        <v>-6972.8575350000028</v>
      </c>
      <c r="I459" s="98"/>
      <c r="J459" s="98"/>
    </row>
    <row r="460" spans="1:10" x14ac:dyDescent="0.2">
      <c r="A460" s="33"/>
      <c r="B460" s="33"/>
      <c r="C460" s="33"/>
      <c r="D460" s="32"/>
      <c r="E460" s="33"/>
      <c r="F460" s="99" t="s">
        <v>29</v>
      </c>
      <c r="G460" s="98"/>
      <c r="H460" s="100">
        <f>Sintético!H62</f>
        <v>33019.402464999999</v>
      </c>
      <c r="I460" s="98"/>
      <c r="J460" s="98"/>
    </row>
  </sheetData>
  <mergeCells count="331">
    <mergeCell ref="H440:I440"/>
    <mergeCell ref="E443:F443"/>
    <mergeCell ref="E444:F444"/>
    <mergeCell ref="E288:F288"/>
    <mergeCell ref="H290:I290"/>
    <mergeCell ref="E297:F297"/>
    <mergeCell ref="H299:I299"/>
    <mergeCell ref="E307:F307"/>
    <mergeCell ref="E308:F308"/>
    <mergeCell ref="E309:F309"/>
    <mergeCell ref="H311:I311"/>
    <mergeCell ref="E317:F317"/>
    <mergeCell ref="E302:F302"/>
    <mergeCell ref="E303:F303"/>
    <mergeCell ref="E304:F304"/>
    <mergeCell ref="E305:F305"/>
    <mergeCell ref="E293:F293"/>
    <mergeCell ref="E294:F294"/>
    <mergeCell ref="E295:F295"/>
    <mergeCell ref="E296:F296"/>
    <mergeCell ref="E315:F315"/>
    <mergeCell ref="E316:F316"/>
    <mergeCell ref="E192:F192"/>
    <mergeCell ref="E193:F193"/>
    <mergeCell ref="E194:F194"/>
    <mergeCell ref="E195:F195"/>
    <mergeCell ref="H197:I197"/>
    <mergeCell ref="F200:G200"/>
    <mergeCell ref="E202:F202"/>
    <mergeCell ref="E203:F203"/>
    <mergeCell ref="E204:F204"/>
    <mergeCell ref="E201:F201"/>
    <mergeCell ref="H14:I14"/>
    <mergeCell ref="E17:F17"/>
    <mergeCell ref="A3:J3"/>
    <mergeCell ref="F4:G4"/>
    <mergeCell ref="E5:F5"/>
    <mergeCell ref="E6:F6"/>
    <mergeCell ref="E7:F7"/>
    <mergeCell ref="E8:F8"/>
    <mergeCell ref="E1:F1"/>
    <mergeCell ref="I1:J1"/>
    <mergeCell ref="E2:F2"/>
    <mergeCell ref="I2:J2"/>
    <mergeCell ref="E18:F18"/>
    <mergeCell ref="E19:F19"/>
    <mergeCell ref="E20:F20"/>
    <mergeCell ref="E21:F21"/>
    <mergeCell ref="E22:F22"/>
    <mergeCell ref="E23:F23"/>
    <mergeCell ref="E9:F9"/>
    <mergeCell ref="E10:F10"/>
    <mergeCell ref="E11:F11"/>
    <mergeCell ref="E12:F12"/>
    <mergeCell ref="E36:F36"/>
    <mergeCell ref="E37:F37"/>
    <mergeCell ref="E38:F38"/>
    <mergeCell ref="E39:F39"/>
    <mergeCell ref="E40:F40"/>
    <mergeCell ref="E41:F41"/>
    <mergeCell ref="E24:F24"/>
    <mergeCell ref="H26:I26"/>
    <mergeCell ref="E29:F29"/>
    <mergeCell ref="E30:F30"/>
    <mergeCell ref="H32:I32"/>
    <mergeCell ref="F35:G35"/>
    <mergeCell ref="E51:F51"/>
    <mergeCell ref="E52:F52"/>
    <mergeCell ref="E53:F53"/>
    <mergeCell ref="E54:F54"/>
    <mergeCell ref="E55:F55"/>
    <mergeCell ref="E56:F56"/>
    <mergeCell ref="E42:F42"/>
    <mergeCell ref="H44:I44"/>
    <mergeCell ref="E47:F47"/>
    <mergeCell ref="E48:F48"/>
    <mergeCell ref="E49:F49"/>
    <mergeCell ref="E50:F50"/>
    <mergeCell ref="E66:F66"/>
    <mergeCell ref="E67:F67"/>
    <mergeCell ref="H69:I69"/>
    <mergeCell ref="E72:F72"/>
    <mergeCell ref="E73:F73"/>
    <mergeCell ref="E74:F74"/>
    <mergeCell ref="E57:F57"/>
    <mergeCell ref="E58:F58"/>
    <mergeCell ref="E59:F59"/>
    <mergeCell ref="H61:I61"/>
    <mergeCell ref="E64:F64"/>
    <mergeCell ref="E65:F65"/>
    <mergeCell ref="E81:F81"/>
    <mergeCell ref="E82:F82"/>
    <mergeCell ref="E83:F83"/>
    <mergeCell ref="E84:F84"/>
    <mergeCell ref="H86:I86"/>
    <mergeCell ref="F89:G89"/>
    <mergeCell ref="E75:F75"/>
    <mergeCell ref="E76:F76"/>
    <mergeCell ref="E77:F77"/>
    <mergeCell ref="E78:F78"/>
    <mergeCell ref="E79:F79"/>
    <mergeCell ref="E80:F80"/>
    <mergeCell ref="H97:I97"/>
    <mergeCell ref="E100:F100"/>
    <mergeCell ref="E101:F101"/>
    <mergeCell ref="E102:F102"/>
    <mergeCell ref="E103:F103"/>
    <mergeCell ref="E104:F104"/>
    <mergeCell ref="E90:F90"/>
    <mergeCell ref="E91:F91"/>
    <mergeCell ref="E92:F92"/>
    <mergeCell ref="E93:F93"/>
    <mergeCell ref="E94:F94"/>
    <mergeCell ref="E95:F95"/>
    <mergeCell ref="H115:I115"/>
    <mergeCell ref="E118:F118"/>
    <mergeCell ref="E119:F119"/>
    <mergeCell ref="E120:F120"/>
    <mergeCell ref="E121:F121"/>
    <mergeCell ref="E122:F122"/>
    <mergeCell ref="H106:I106"/>
    <mergeCell ref="E109:F109"/>
    <mergeCell ref="E110:F110"/>
    <mergeCell ref="E111:F111"/>
    <mergeCell ref="E112:F112"/>
    <mergeCell ref="E113:F113"/>
    <mergeCell ref="E132:F132"/>
    <mergeCell ref="H134:I134"/>
    <mergeCell ref="E137:F137"/>
    <mergeCell ref="E138:F138"/>
    <mergeCell ref="E139:F139"/>
    <mergeCell ref="E140:F140"/>
    <mergeCell ref="H124:I124"/>
    <mergeCell ref="E127:F127"/>
    <mergeCell ref="E128:F128"/>
    <mergeCell ref="E129:F129"/>
    <mergeCell ref="E130:F130"/>
    <mergeCell ref="E131:F131"/>
    <mergeCell ref="H151:I151"/>
    <mergeCell ref="E155:F155"/>
    <mergeCell ref="E156:F156"/>
    <mergeCell ref="E157:F157"/>
    <mergeCell ref="E158:F158"/>
    <mergeCell ref="H142:I142"/>
    <mergeCell ref="E145:F145"/>
    <mergeCell ref="E146:F146"/>
    <mergeCell ref="E147:F147"/>
    <mergeCell ref="E148:F148"/>
    <mergeCell ref="E149:F149"/>
    <mergeCell ref="E154:F154"/>
    <mergeCell ref="E159:F159"/>
    <mergeCell ref="E166:F166"/>
    <mergeCell ref="E167:F167"/>
    <mergeCell ref="E183:F183"/>
    <mergeCell ref="H185:I185"/>
    <mergeCell ref="E188:F188"/>
    <mergeCell ref="E189:F189"/>
    <mergeCell ref="E190:F190"/>
    <mergeCell ref="E191:F191"/>
    <mergeCell ref="H175:I175"/>
    <mergeCell ref="E179:F179"/>
    <mergeCell ref="E180:F180"/>
    <mergeCell ref="E181:F181"/>
    <mergeCell ref="E182:F182"/>
    <mergeCell ref="E178:F178"/>
    <mergeCell ref="H161:I161"/>
    <mergeCell ref="F164:G164"/>
    <mergeCell ref="E165:F165"/>
    <mergeCell ref="E168:F168"/>
    <mergeCell ref="E169:F169"/>
    <mergeCell ref="E170:F170"/>
    <mergeCell ref="E171:F171"/>
    <mergeCell ref="E172:F172"/>
    <mergeCell ref="E173:F173"/>
    <mergeCell ref="E205:F205"/>
    <mergeCell ref="H207:I207"/>
    <mergeCell ref="E219:F219"/>
    <mergeCell ref="E220:F220"/>
    <mergeCell ref="E210:F210"/>
    <mergeCell ref="E218:F218"/>
    <mergeCell ref="E211:F211"/>
    <mergeCell ref="E212:F212"/>
    <mergeCell ref="E213:F213"/>
    <mergeCell ref="H215:I215"/>
    <mergeCell ref="E221:F221"/>
    <mergeCell ref="E222:F222"/>
    <mergeCell ref="E223:F223"/>
    <mergeCell ref="H225:I225"/>
    <mergeCell ref="E237:F237"/>
    <mergeCell ref="E242:F242"/>
    <mergeCell ref="E228:F228"/>
    <mergeCell ref="E229:F229"/>
    <mergeCell ref="E230:F230"/>
    <mergeCell ref="E231:F231"/>
    <mergeCell ref="E232:F232"/>
    <mergeCell ref="H234:I234"/>
    <mergeCell ref="E238:F238"/>
    <mergeCell ref="E239:F239"/>
    <mergeCell ref="E240:F240"/>
    <mergeCell ref="E241:F241"/>
    <mergeCell ref="H244:I244"/>
    <mergeCell ref="E255:F255"/>
    <mergeCell ref="E256:F256"/>
    <mergeCell ref="E247:F247"/>
    <mergeCell ref="E248:F248"/>
    <mergeCell ref="E249:F249"/>
    <mergeCell ref="E250:F250"/>
    <mergeCell ref="H252:I252"/>
    <mergeCell ref="E257:F257"/>
    <mergeCell ref="E258:F258"/>
    <mergeCell ref="E259:F259"/>
    <mergeCell ref="H261:I261"/>
    <mergeCell ref="E264:F264"/>
    <mergeCell ref="E265:F265"/>
    <mergeCell ref="E266:F266"/>
    <mergeCell ref="E267:F267"/>
    <mergeCell ref="E268:F268"/>
    <mergeCell ref="E269:F269"/>
    <mergeCell ref="H271:I271"/>
    <mergeCell ref="E276:F276"/>
    <mergeCell ref="E277:F277"/>
    <mergeCell ref="E278:F278"/>
    <mergeCell ref="H280:I280"/>
    <mergeCell ref="E284:F284"/>
    <mergeCell ref="E285:F285"/>
    <mergeCell ref="E286:F286"/>
    <mergeCell ref="E287:F287"/>
    <mergeCell ref="E274:F274"/>
    <mergeCell ref="E275:F275"/>
    <mergeCell ref="F283:G283"/>
    <mergeCell ref="E323:F323"/>
    <mergeCell ref="E306:F306"/>
    <mergeCell ref="E314:F314"/>
    <mergeCell ref="E318:F318"/>
    <mergeCell ref="H320:I320"/>
    <mergeCell ref="E333:F333"/>
    <mergeCell ref="E334:F334"/>
    <mergeCell ref="E324:F324"/>
    <mergeCell ref="E325:F325"/>
    <mergeCell ref="E326:F326"/>
    <mergeCell ref="E327:F327"/>
    <mergeCell ref="E328:F328"/>
    <mergeCell ref="H330:I330"/>
    <mergeCell ref="E335:F335"/>
    <mergeCell ref="E336:F336"/>
    <mergeCell ref="E337:F337"/>
    <mergeCell ref="E338:F338"/>
    <mergeCell ref="H340:I340"/>
    <mergeCell ref="E352:F352"/>
    <mergeCell ref="E353:F353"/>
    <mergeCell ref="E343:F343"/>
    <mergeCell ref="E344:F344"/>
    <mergeCell ref="E345:F345"/>
    <mergeCell ref="E346:F346"/>
    <mergeCell ref="E347:F347"/>
    <mergeCell ref="H349:I349"/>
    <mergeCell ref="E354:F354"/>
    <mergeCell ref="E355:F355"/>
    <mergeCell ref="E356:F356"/>
    <mergeCell ref="H358:I358"/>
    <mergeCell ref="E371:F371"/>
    <mergeCell ref="E361:F361"/>
    <mergeCell ref="E362:F362"/>
    <mergeCell ref="E363:F363"/>
    <mergeCell ref="E364:F364"/>
    <mergeCell ref="E365:F365"/>
    <mergeCell ref="E366:F366"/>
    <mergeCell ref="H368:I368"/>
    <mergeCell ref="E372:F372"/>
    <mergeCell ref="E373:F373"/>
    <mergeCell ref="E374:F374"/>
    <mergeCell ref="E375:F375"/>
    <mergeCell ref="H377:I377"/>
    <mergeCell ref="E393:F393"/>
    <mergeCell ref="E380:F380"/>
    <mergeCell ref="E381:F381"/>
    <mergeCell ref="E382:F382"/>
    <mergeCell ref="E383:F383"/>
    <mergeCell ref="E384:F384"/>
    <mergeCell ref="H386:I386"/>
    <mergeCell ref="E389:F389"/>
    <mergeCell ref="E390:F390"/>
    <mergeCell ref="E391:F391"/>
    <mergeCell ref="E392:F392"/>
    <mergeCell ref="H395:I395"/>
    <mergeCell ref="E398:F398"/>
    <mergeCell ref="E399:F399"/>
    <mergeCell ref="E400:F400"/>
    <mergeCell ref="E401:F401"/>
    <mergeCell ref="E402:F402"/>
    <mergeCell ref="H404:I404"/>
    <mergeCell ref="E407:F407"/>
    <mergeCell ref="E408:F408"/>
    <mergeCell ref="E409:F409"/>
    <mergeCell ref="E410:F410"/>
    <mergeCell ref="H412:I412"/>
    <mergeCell ref="E428:F428"/>
    <mergeCell ref="E415:F415"/>
    <mergeCell ref="E416:F416"/>
    <mergeCell ref="E417:F417"/>
    <mergeCell ref="E418:F418"/>
    <mergeCell ref="E419:F419"/>
    <mergeCell ref="H421:I421"/>
    <mergeCell ref="F424:G424"/>
    <mergeCell ref="E425:F425"/>
    <mergeCell ref="E426:F426"/>
    <mergeCell ref="E427:F427"/>
    <mergeCell ref="H430:I430"/>
    <mergeCell ref="A459:C459"/>
    <mergeCell ref="F459:G459"/>
    <mergeCell ref="H459:J459"/>
    <mergeCell ref="F460:G460"/>
    <mergeCell ref="H460:J460"/>
    <mergeCell ref="A457:C457"/>
    <mergeCell ref="F457:G457"/>
    <mergeCell ref="H457:J457"/>
    <mergeCell ref="A458:C458"/>
    <mergeCell ref="F458:G458"/>
    <mergeCell ref="H458:J458"/>
    <mergeCell ref="E445:F445"/>
    <mergeCell ref="H447:I447"/>
    <mergeCell ref="E450:F450"/>
    <mergeCell ref="E451:F451"/>
    <mergeCell ref="E452:F452"/>
    <mergeCell ref="H454:I454"/>
    <mergeCell ref="E433:F433"/>
    <mergeCell ref="E434:F434"/>
    <mergeCell ref="E435:F435"/>
    <mergeCell ref="E436:F436"/>
    <mergeCell ref="E437:F437"/>
    <mergeCell ref="E438:F438"/>
  </mergeCells>
  <pageMargins left="0.511811024" right="0.511811024" top="0.78740157499999996" bottom="0.78740157499999996" header="0.31496062000000002" footer="0.31496062000000002"/>
  <pageSetup paperSize="9" scale="5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A654-5767-4AB4-8279-0E403998ABCD}">
  <sheetPr>
    <pageSetUpPr fitToPage="1"/>
  </sheetPr>
  <dimension ref="A1:M9"/>
  <sheetViews>
    <sheetView workbookViewId="0">
      <selection activeCell="D9" sqref="D9"/>
    </sheetView>
  </sheetViews>
  <sheetFormatPr defaultRowHeight="15" x14ac:dyDescent="0.2"/>
  <cols>
    <col min="1" max="1" width="14.375" style="86" customWidth="1"/>
    <col min="2" max="2" width="71.5" style="59" customWidth="1"/>
    <col min="3" max="3" width="6.375" style="59" customWidth="1"/>
    <col min="4" max="4" width="18.375" style="59" customWidth="1"/>
    <col min="5" max="5" width="9.875" style="59" bestFit="1" customWidth="1"/>
    <col min="6" max="6" width="13.5" style="59" bestFit="1" customWidth="1"/>
    <col min="7" max="7" width="18.375" style="59" customWidth="1"/>
    <col min="8" max="8" width="9.875" style="59" bestFit="1" customWidth="1"/>
    <col min="9" max="9" width="14.5" style="59" customWidth="1"/>
    <col min="10" max="10" width="18.375" style="59" customWidth="1"/>
    <col min="11" max="11" width="9.875" style="59" bestFit="1" customWidth="1"/>
    <col min="12" max="12" width="14.125" style="59" bestFit="1" customWidth="1"/>
    <col min="13" max="13" width="14.875" style="59" customWidth="1"/>
    <col min="14" max="14" width="9" style="59"/>
    <col min="15" max="15" width="9.25" style="59" bestFit="1" customWidth="1"/>
    <col min="16" max="16384" width="9" style="59"/>
  </cols>
  <sheetData>
    <row r="1" spans="1:13" x14ac:dyDescent="0.2">
      <c r="A1" s="70"/>
      <c r="B1" s="71" t="s">
        <v>408</v>
      </c>
      <c r="C1" s="113" t="s">
        <v>1</v>
      </c>
      <c r="D1" s="113"/>
      <c r="E1" s="72" t="s">
        <v>2</v>
      </c>
      <c r="F1" s="72" t="s">
        <v>409</v>
      </c>
      <c r="G1" s="114" t="s">
        <v>3</v>
      </c>
      <c r="H1" s="114"/>
      <c r="I1" s="114"/>
      <c r="J1" s="114"/>
    </row>
    <row r="2" spans="1:13" ht="45" customHeight="1" x14ac:dyDescent="0.2">
      <c r="A2" s="73"/>
      <c r="B2" s="74" t="s">
        <v>410</v>
      </c>
      <c r="C2" s="115"/>
      <c r="D2" s="115"/>
      <c r="E2" s="75" t="s">
        <v>411</v>
      </c>
      <c r="F2" s="76">
        <v>0.20050000000000001</v>
      </c>
      <c r="G2" s="116" t="s">
        <v>412</v>
      </c>
      <c r="H2" s="116"/>
      <c r="I2" s="116"/>
      <c r="J2" s="116"/>
    </row>
    <row r="3" spans="1:13" x14ac:dyDescent="0.25">
      <c r="A3" s="117" t="s">
        <v>413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x14ac:dyDescent="0.2">
      <c r="A4" s="111" t="s">
        <v>414</v>
      </c>
      <c r="B4" s="111" t="s">
        <v>415</v>
      </c>
      <c r="C4" s="118" t="s">
        <v>416</v>
      </c>
      <c r="D4" s="118" t="s">
        <v>417</v>
      </c>
      <c r="E4" s="118"/>
      <c r="F4" s="118"/>
      <c r="G4" s="111" t="s">
        <v>418</v>
      </c>
      <c r="H4" s="111"/>
      <c r="I4" s="111"/>
      <c r="J4" s="111" t="s">
        <v>419</v>
      </c>
      <c r="K4" s="111"/>
      <c r="L4" s="111"/>
      <c r="M4" s="112" t="s">
        <v>420</v>
      </c>
    </row>
    <row r="5" spans="1:13" ht="14.25" x14ac:dyDescent="0.2">
      <c r="A5" s="111"/>
      <c r="B5" s="111"/>
      <c r="C5" s="118"/>
      <c r="D5" s="77" t="s">
        <v>421</v>
      </c>
      <c r="E5" s="77" t="s">
        <v>422</v>
      </c>
      <c r="F5" s="78" t="s">
        <v>423</v>
      </c>
      <c r="G5" s="77" t="s">
        <v>424</v>
      </c>
      <c r="H5" s="77" t="s">
        <v>422</v>
      </c>
      <c r="I5" s="78" t="s">
        <v>423</v>
      </c>
      <c r="J5" s="77" t="s">
        <v>425</v>
      </c>
      <c r="K5" s="77" t="s">
        <v>422</v>
      </c>
      <c r="L5" s="78" t="s">
        <v>423</v>
      </c>
      <c r="M5" s="112"/>
    </row>
    <row r="6" spans="1:13" ht="32.25" customHeight="1" x14ac:dyDescent="0.2">
      <c r="A6" s="79" t="s">
        <v>426</v>
      </c>
      <c r="B6" s="80" t="s">
        <v>427</v>
      </c>
      <c r="C6" s="81" t="s">
        <v>93</v>
      </c>
      <c r="D6" s="87" t="s">
        <v>428</v>
      </c>
      <c r="E6" s="82">
        <v>45689</v>
      </c>
      <c r="F6" s="83">
        <v>32.049999999999997</v>
      </c>
      <c r="G6" s="87" t="s">
        <v>429</v>
      </c>
      <c r="H6" s="82">
        <v>45689</v>
      </c>
      <c r="I6" s="83">
        <v>30.49</v>
      </c>
      <c r="J6" s="89" t="s">
        <v>430</v>
      </c>
      <c r="K6" s="82">
        <v>45689</v>
      </c>
      <c r="L6" s="83">
        <v>38.159999999999997</v>
      </c>
      <c r="M6" s="84">
        <f t="shared" ref="M6:M8" si="0">MEDIAN(F6,I6,L6)</f>
        <v>32.049999999999997</v>
      </c>
    </row>
    <row r="7" spans="1:13" ht="34.5" customHeight="1" x14ac:dyDescent="0.2">
      <c r="A7" s="79" t="s">
        <v>431</v>
      </c>
      <c r="B7" s="80" t="s">
        <v>432</v>
      </c>
      <c r="C7" s="81" t="s">
        <v>93</v>
      </c>
      <c r="D7" s="88" t="s">
        <v>433</v>
      </c>
      <c r="E7" s="82">
        <v>45689</v>
      </c>
      <c r="F7" s="83">
        <v>7.99</v>
      </c>
      <c r="G7" s="87" t="s">
        <v>434</v>
      </c>
      <c r="H7" s="82">
        <v>45689</v>
      </c>
      <c r="I7" s="83">
        <v>10.86</v>
      </c>
      <c r="J7" s="89" t="s">
        <v>435</v>
      </c>
      <c r="K7" s="82">
        <v>45689</v>
      </c>
      <c r="L7" s="83">
        <v>15.99</v>
      </c>
      <c r="M7" s="84">
        <f t="shared" si="0"/>
        <v>10.86</v>
      </c>
    </row>
    <row r="8" spans="1:13" ht="49.5" customHeight="1" x14ac:dyDescent="0.2">
      <c r="A8" s="79" t="s">
        <v>436</v>
      </c>
      <c r="B8" s="80" t="s">
        <v>437</v>
      </c>
      <c r="C8" s="81" t="s">
        <v>93</v>
      </c>
      <c r="D8" s="87" t="s">
        <v>438</v>
      </c>
      <c r="E8" s="82">
        <v>45516</v>
      </c>
      <c r="F8" s="83">
        <v>222.35</v>
      </c>
      <c r="G8" s="87" t="s">
        <v>439</v>
      </c>
      <c r="H8" s="82">
        <v>45516</v>
      </c>
      <c r="I8" s="83">
        <v>107.82</v>
      </c>
      <c r="J8" s="89" t="s">
        <v>440</v>
      </c>
      <c r="K8" s="82">
        <v>45516</v>
      </c>
      <c r="L8" s="83">
        <v>174.25</v>
      </c>
      <c r="M8" s="84">
        <f t="shared" si="0"/>
        <v>174.25</v>
      </c>
    </row>
    <row r="9" spans="1:13" x14ac:dyDescent="0.2">
      <c r="M9" s="85"/>
    </row>
  </sheetData>
  <mergeCells count="12">
    <mergeCell ref="J4:L4"/>
    <mergeCell ref="M4:M5"/>
    <mergeCell ref="C1:D1"/>
    <mergeCell ref="G1:J1"/>
    <mergeCell ref="C2:D2"/>
    <mergeCell ref="G2:J2"/>
    <mergeCell ref="A3:M3"/>
    <mergeCell ref="A4:A5"/>
    <mergeCell ref="B4:B5"/>
    <mergeCell ref="C4:C5"/>
    <mergeCell ref="D4:F4"/>
    <mergeCell ref="G4:I4"/>
  </mergeCells>
  <hyperlinks>
    <hyperlink ref="D6" r:id="rId1" xr:uid="{917148E8-DF77-46D7-982D-4920CDE67E53}"/>
    <hyperlink ref="G6" r:id="rId2" xr:uid="{26C2561C-0042-4F1B-A73C-069F685494E9}"/>
    <hyperlink ref="J6" r:id="rId3" xr:uid="{059BCA33-2ED5-48F0-9C8E-6EC9E64A18C4}"/>
    <hyperlink ref="G7" r:id="rId4" display="https://www.americanas.com.br/produto/7470111657/fita-fecho-de-contato-organizador-de-cabos-preto-rolo-10m-x-30mm?offerId=66676680f85575c569224ddc&amp;opn=YSMESP&amp;epar=bp_pl_px_go_pmax_cec_3p_outros_geral_2&amp;gclsrc=aw.ds&amp;gad_source=4&amp;gclid=Cj0KCQjw5ea1BhC6ARIsAEOG5pyOCtIiXUXH2Yrq9CjM-wYDZyGHL8Y6eWePTrf1zEzy8Y6eVgUKJ-YaAnsQEALw_wcB" xr:uid="{619898D2-CDC8-4514-BDD2-970943660339}"/>
    <hyperlink ref="J7" r:id="rId5" location="derivacao=951" display="https://www.47eletrica.com.br/fita-fecho-de-contato-organizador-de-cabos-cor-preto-rolo-10m-x-40mm?utm_source=google&amp;utm_medium=Shopping&amp;utm_campaign=fita-fecho-de-contato-organizador-de-cabos-cor-preto-rolo-10m-x-40mm&amp;inStock&amp;gad_source=4&amp;gclid=Cj0KCQjw5ea1BhC6ARIsAEOG5pylcPlGoaDneNP10_b3owigOxlnEVe5Dthugr1y0h30N6s9pYbSyEsaArUAEALw_wcB#derivacao=951" xr:uid="{35A52742-8B58-4B1A-B961-8C941FC9E140}"/>
    <hyperlink ref="D8" r:id="rId6" display="https://www.magazineluiza.com.br/pdu-20a-com-12-tomadas-padrao-nbr14136-8x10a-e-4x20a-casa-das-tomadas/p/gb381740b4/in/fdla/?utm_content=none_roa_ven_geral_pla_tod_3p&amp;utm_source=google&amp;utm_medium=cpc&amp;seller_id=olistplus&amp;srsltid=AfmBOoo3QRWgoOZH9uxgZLOyFqTayO46W_gY-kdx77UZc69CXdbxojBNkrk" xr:uid="{E17F1026-76F1-4A91-BFA7-9BB6AB5B33E5}"/>
    <hyperlink ref="G8" r:id="rId7" xr:uid="{DDBFA53B-B29F-4778-93A9-946CFB7CE0E9}"/>
    <hyperlink ref="J8" r:id="rId8" xr:uid="{7259617F-6911-46C0-8167-36FC571F177C}"/>
  </hyperlinks>
  <pageMargins left="0.511811024" right="0.511811024" top="0.78740157499999996" bottom="0.78740157499999996" header="0.31496062000000002" footer="0.31496062000000002"/>
  <pageSetup paperSize="9" scale="53" fitToHeight="0" orientation="landscape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BE7B-EB67-4342-B81F-AAEF1DFD8851}">
  <sheetPr>
    <pageSetUpPr fitToPage="1"/>
  </sheetPr>
  <dimension ref="A1:E18"/>
  <sheetViews>
    <sheetView workbookViewId="0">
      <selection activeCell="D17" sqref="D17"/>
    </sheetView>
  </sheetViews>
  <sheetFormatPr defaultRowHeight="14.25" x14ac:dyDescent="0.2"/>
  <cols>
    <col min="1" max="1" width="5.875" customWidth="1"/>
    <col min="2" max="2" width="72.875" customWidth="1"/>
    <col min="3" max="3" width="20" bestFit="1" customWidth="1"/>
    <col min="4" max="4" width="13.75" customWidth="1"/>
    <col min="5" max="5" width="14.5" customWidth="1"/>
    <col min="6" max="28" width="12" bestFit="1" customWidth="1"/>
  </cols>
  <sheetData>
    <row r="1" spans="1:5" ht="15" x14ac:dyDescent="0.2">
      <c r="A1" s="13"/>
      <c r="B1" s="13" t="s">
        <v>0</v>
      </c>
      <c r="C1" s="13" t="s">
        <v>1</v>
      </c>
      <c r="D1" s="55" t="s">
        <v>2</v>
      </c>
      <c r="E1" s="55" t="s">
        <v>407</v>
      </c>
    </row>
    <row r="2" spans="1:5" ht="38.25" x14ac:dyDescent="0.2">
      <c r="A2" s="14"/>
      <c r="B2" s="14" t="s">
        <v>4</v>
      </c>
      <c r="C2" s="14" t="s">
        <v>5</v>
      </c>
      <c r="D2" s="52">
        <v>0.27539999999999998</v>
      </c>
      <c r="E2" s="52">
        <v>0.17369999999999999</v>
      </c>
    </row>
    <row r="3" spans="1:5" ht="15" x14ac:dyDescent="0.25">
      <c r="A3" s="103" t="s">
        <v>400</v>
      </c>
      <c r="B3" s="94"/>
      <c r="C3" s="94"/>
      <c r="D3" s="94"/>
      <c r="E3" s="94"/>
    </row>
    <row r="4" spans="1:5" ht="15" x14ac:dyDescent="0.2">
      <c r="A4" s="15" t="s">
        <v>8</v>
      </c>
      <c r="B4" s="15" t="s">
        <v>9</v>
      </c>
      <c r="C4" s="16" t="s">
        <v>401</v>
      </c>
      <c r="D4" s="16" t="s">
        <v>402</v>
      </c>
    </row>
    <row r="5" spans="1:5" ht="15" thickBot="1" x14ac:dyDescent="0.25">
      <c r="A5" s="18" t="s">
        <v>13</v>
      </c>
      <c r="B5" s="18" t="s">
        <v>14</v>
      </c>
      <c r="C5" s="56">
        <f>Resumo!H5</f>
        <v>9853.8753900000011</v>
      </c>
      <c r="D5" s="57">
        <f t="shared" ref="D5:D11" si="0">C5</f>
        <v>9853.8753900000011</v>
      </c>
    </row>
    <row r="6" spans="1:5" ht="15.75" thickTop="1" thickBot="1" x14ac:dyDescent="0.25">
      <c r="A6" s="18" t="s">
        <v>15</v>
      </c>
      <c r="B6" s="18" t="s">
        <v>16</v>
      </c>
      <c r="C6" s="56">
        <f>Resumo!H6</f>
        <v>4531.4209370000008</v>
      </c>
      <c r="D6" s="57">
        <f t="shared" si="0"/>
        <v>4531.4209370000008</v>
      </c>
    </row>
    <row r="7" spans="1:5" ht="15.75" thickTop="1" thickBot="1" x14ac:dyDescent="0.25">
      <c r="A7" s="18" t="s">
        <v>17</v>
      </c>
      <c r="B7" s="18" t="s">
        <v>18</v>
      </c>
      <c r="C7" s="56">
        <f>Resumo!H7</f>
        <v>4501.8146079999997</v>
      </c>
      <c r="D7" s="57">
        <f t="shared" si="0"/>
        <v>4501.8146079999997</v>
      </c>
    </row>
    <row r="8" spans="1:5" ht="15.75" thickTop="1" thickBot="1" x14ac:dyDescent="0.25">
      <c r="A8" s="18" t="s">
        <v>19</v>
      </c>
      <c r="B8" s="18" t="s">
        <v>20</v>
      </c>
      <c r="C8" s="56">
        <f>Resumo!H8</f>
        <v>1749.2027329999999</v>
      </c>
      <c r="D8" s="57">
        <f t="shared" si="0"/>
        <v>1749.2027329999999</v>
      </c>
    </row>
    <row r="9" spans="1:5" ht="15.75" thickTop="1" thickBot="1" x14ac:dyDescent="0.25">
      <c r="A9" s="18" t="s">
        <v>21</v>
      </c>
      <c r="B9" s="18" t="s">
        <v>22</v>
      </c>
      <c r="C9" s="56">
        <f>Resumo!H9</f>
        <v>1353.900813</v>
      </c>
      <c r="D9" s="57">
        <f t="shared" si="0"/>
        <v>1353.900813</v>
      </c>
    </row>
    <row r="10" spans="1:5" ht="15.75" thickTop="1" thickBot="1" x14ac:dyDescent="0.25">
      <c r="A10" s="18" t="s">
        <v>23</v>
      </c>
      <c r="B10" s="18" t="s">
        <v>24</v>
      </c>
      <c r="C10" s="56">
        <f>Resumo!H10</f>
        <v>10270.512375999999</v>
      </c>
      <c r="D10" s="57">
        <f t="shared" si="0"/>
        <v>10270.512375999999</v>
      </c>
    </row>
    <row r="11" spans="1:5" ht="15.75" thickTop="1" thickBot="1" x14ac:dyDescent="0.25">
      <c r="A11" s="18" t="s">
        <v>25</v>
      </c>
      <c r="B11" s="18" t="s">
        <v>26</v>
      </c>
      <c r="C11" s="56">
        <f>Resumo!H11</f>
        <v>758.6756079999999</v>
      </c>
      <c r="D11" s="57">
        <f t="shared" si="0"/>
        <v>758.6756079999999</v>
      </c>
    </row>
    <row r="12" spans="1:5" ht="15" thickTop="1" x14ac:dyDescent="0.2">
      <c r="A12" s="99" t="s">
        <v>403</v>
      </c>
      <c r="B12" s="99"/>
      <c r="C12" s="14"/>
      <c r="D12" s="58">
        <v>1</v>
      </c>
    </row>
    <row r="13" spans="1:5" x14ac:dyDescent="0.2">
      <c r="A13" s="99" t="s">
        <v>404</v>
      </c>
      <c r="B13" s="99"/>
      <c r="C13" s="14"/>
      <c r="D13" s="46">
        <f>SUM(D5:D11)</f>
        <v>33019.402464999999</v>
      </c>
    </row>
    <row r="14" spans="1:5" x14ac:dyDescent="0.2">
      <c r="A14" s="99" t="s">
        <v>405</v>
      </c>
      <c r="B14" s="99"/>
      <c r="C14" s="14"/>
      <c r="D14" s="58">
        <v>1</v>
      </c>
    </row>
    <row r="15" spans="1:5" x14ac:dyDescent="0.2">
      <c r="A15" s="99" t="s">
        <v>406</v>
      </c>
      <c r="B15" s="99"/>
      <c r="C15" s="14"/>
      <c r="D15" s="46">
        <f>D13</f>
        <v>33019.402464999999</v>
      </c>
    </row>
    <row r="16" spans="1:5" x14ac:dyDescent="0.2">
      <c r="A16" s="31"/>
      <c r="B16" s="31"/>
      <c r="C16" s="31"/>
      <c r="D16" s="31"/>
      <c r="E16" s="31"/>
    </row>
    <row r="17" spans="1:5" ht="60" customHeight="1" x14ac:dyDescent="0.2">
      <c r="A17" s="34"/>
      <c r="B17" s="34"/>
      <c r="C17" s="34"/>
      <c r="D17" s="34"/>
      <c r="E17" s="34"/>
    </row>
    <row r="18" spans="1:5" ht="69.95" customHeight="1" x14ac:dyDescent="0.2">
      <c r="A18" s="101" t="s">
        <v>399</v>
      </c>
      <c r="B18" s="94"/>
      <c r="C18" s="94"/>
      <c r="D18" s="94"/>
      <c r="E18" s="94"/>
    </row>
  </sheetData>
  <mergeCells count="6">
    <mergeCell ref="A13:B13"/>
    <mergeCell ref="A14:B14"/>
    <mergeCell ref="A15:B15"/>
    <mergeCell ref="A18:E18"/>
    <mergeCell ref="A3:E3"/>
    <mergeCell ref="A12:B12"/>
  </mergeCells>
  <pageMargins left="0.511811024" right="0.511811024" top="0.78740157499999996" bottom="0.78740157499999996" header="0.31496062000000002" footer="0.31496062000000002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Sintético</vt:lpstr>
      <vt:lpstr>Analítica</vt:lpstr>
      <vt:lpstr>Mapa de Cotação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Adriano Augusto</cp:lastModifiedBy>
  <cp:revision>0</cp:revision>
  <cp:lastPrinted>2025-10-08T18:27:57Z</cp:lastPrinted>
  <dcterms:created xsi:type="dcterms:W3CDTF">2025-10-03T18:02:12Z</dcterms:created>
  <dcterms:modified xsi:type="dcterms:W3CDTF">2026-03-05T14:26:27Z</dcterms:modified>
</cp:coreProperties>
</file>