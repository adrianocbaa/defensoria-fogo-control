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UIABÁ\ALMOXARIFADO SANTA CRUZ\REFORMA - 02\PLANILHA ORÇAMENTÁRIA\"/>
    </mc:Choice>
  </mc:AlternateContent>
  <xr:revisionPtr revIDLastSave="0" documentId="13_ncr:1_{0FC1D635-9489-40F5-ABAD-70C55C0556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5" l="1"/>
  <c r="K4" i="5"/>
  <c r="L5" i="5"/>
  <c r="K5" i="5"/>
  <c r="L6" i="5"/>
  <c r="K6" i="5"/>
  <c r="K3" i="5" l="1"/>
  <c r="M4" i="5"/>
  <c r="N4" i="5" s="1"/>
  <c r="M5" i="5"/>
  <c r="N5" i="5" s="1"/>
  <c r="M6" i="5"/>
  <c r="L3" i="5" l="1"/>
  <c r="M3" i="5" s="1"/>
  <c r="N3" i="5" s="1"/>
  <c r="N6" i="5"/>
  <c r="M7" i="5" l="1"/>
  <c r="K7" i="5" s="1"/>
  <c r="K2" i="5" s="1"/>
  <c r="L7" i="5" l="1"/>
  <c r="L2" i="5" s="1"/>
</calcChain>
</file>

<file path=xl/sharedStrings.xml><?xml version="1.0" encoding="utf-8"?>
<sst xmlns="http://schemas.openxmlformats.org/spreadsheetml/2006/main" count="19" uniqueCount="19">
  <si>
    <t>Item</t>
  </si>
  <si>
    <t>Descrição</t>
  </si>
  <si>
    <t xml:space="preserve"> 1 </t>
  </si>
  <si>
    <t>ADMINISTRAÇÃO</t>
  </si>
  <si>
    <t xml:space="preserve"> 2 </t>
  </si>
  <si>
    <t xml:space="preserve"> 3 </t>
  </si>
  <si>
    <t>ELÉTRICA</t>
  </si>
  <si>
    <t xml:space="preserve"> 4 </t>
  </si>
  <si>
    <t xml:space="preserve"> 5 </t>
  </si>
  <si>
    <t>PINTURA</t>
  </si>
  <si>
    <t>Total Por Etapa</t>
  </si>
  <si>
    <t>30 DIAS</t>
  </si>
  <si>
    <t>60 DIAS</t>
  </si>
  <si>
    <t>Porcentagem</t>
  </si>
  <si>
    <t>Custo</t>
  </si>
  <si>
    <t>Porcentagem Acumulado</t>
  </si>
  <si>
    <t>Custo Acumulado</t>
  </si>
  <si>
    <t>RAMPA / REPAROS</t>
  </si>
  <si>
    <t>ACESSÓRIOS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</si>
</sst>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name val="Arial"/>
      <family val="1"/>
    </font>
    <font>
      <sz val="11"/>
      <color theme="1"/>
      <name val="Calibri"/>
      <family val="2"/>
      <scheme val="minor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sz val="10"/>
      <color rgb="FF000000"/>
      <name val="Arial"/>
      <family val="1"/>
    </font>
    <font>
      <sz val="11"/>
      <name val="Arial"/>
      <family val="1"/>
    </font>
    <font>
      <b/>
      <sz val="10"/>
      <color theme="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D8EC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4" fontId="6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43" fontId="3" fillId="2" borderId="1" xfId="2" applyFont="1" applyFill="1" applyBorder="1" applyAlignment="1">
      <alignment horizontal="right" vertical="top" wrapText="1"/>
    </xf>
    <xf numFmtId="9" fontId="0" fillId="0" borderId="0" xfId="1" applyFont="1"/>
    <xf numFmtId="43" fontId="0" fillId="0" borderId="0" xfId="0" applyNumberFormat="1"/>
    <xf numFmtId="43" fontId="5" fillId="2" borderId="2" xfId="2" applyFont="1" applyFill="1" applyBorder="1" applyAlignment="1">
      <alignment horizontal="right" vertical="top" wrapText="1"/>
    </xf>
    <xf numFmtId="10" fontId="0" fillId="0" borderId="0" xfId="1" applyNumberFormat="1" applyFont="1"/>
    <xf numFmtId="43" fontId="4" fillId="3" borderId="0" xfId="0" applyNumberFormat="1" applyFont="1" applyFill="1" applyAlignment="1">
      <alignment horizontal="right" vertical="top" wrapText="1"/>
    </xf>
    <xf numFmtId="10" fontId="4" fillId="3" borderId="0" xfId="1" applyNumberFormat="1" applyFont="1" applyFill="1" applyAlignment="1">
      <alignment horizontal="right" vertical="top" wrapText="1"/>
    </xf>
    <xf numFmtId="43" fontId="7" fillId="3" borderId="0" xfId="0" applyNumberFormat="1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</cellXfs>
  <cellStyles count="5">
    <cellStyle name="Moeda 2" xfId="4" xr:uid="{5E0F34D8-7528-4B85-B0D7-D0823BAB46F7}"/>
    <cellStyle name="Normal" xfId="0" builtinId="0"/>
    <cellStyle name="Normal 2 2 2" xfId="3" xr:uid="{85425D46-EF10-4959-80C1-6F6D3089B6AC}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7EA8-98F8-49A7-9CC7-24A2A9F84FAF}">
  <sheetPr>
    <pageSetUpPr fitToPage="1"/>
  </sheetPr>
  <dimension ref="A1:N10"/>
  <sheetViews>
    <sheetView tabSelected="1" workbookViewId="0">
      <selection activeCell="A10" sqref="A10:B10"/>
    </sheetView>
  </sheetViews>
  <sheetFormatPr defaultRowHeight="14.25" x14ac:dyDescent="0.2"/>
  <cols>
    <col min="1" max="1" width="20" style="1" bestFit="1" customWidth="1"/>
    <col min="2" max="2" width="60" style="1" bestFit="1" customWidth="1"/>
    <col min="3" max="3" width="20" style="1" bestFit="1" customWidth="1"/>
    <col min="4" max="8" width="12" style="1" bestFit="1" customWidth="1"/>
    <col min="9" max="14" width="12" style="1" hidden="1" customWidth="1"/>
    <col min="15" max="30" width="12" style="1" bestFit="1" customWidth="1"/>
    <col min="31" max="16384" width="9" style="1"/>
  </cols>
  <sheetData>
    <row r="1" spans="1:14" ht="15" x14ac:dyDescent="0.2">
      <c r="A1" s="2" t="s">
        <v>0</v>
      </c>
      <c r="B1" s="2" t="s">
        <v>1</v>
      </c>
      <c r="C1" s="3" t="s">
        <v>10</v>
      </c>
      <c r="D1" s="3" t="s">
        <v>11</v>
      </c>
      <c r="E1" s="3" t="s">
        <v>12</v>
      </c>
      <c r="I1" s="1">
        <v>30</v>
      </c>
      <c r="J1" s="1">
        <v>60</v>
      </c>
    </row>
    <row r="2" spans="1:14" ht="15" thickBot="1" x14ac:dyDescent="0.25">
      <c r="A2" s="4" t="s">
        <v>2</v>
      </c>
      <c r="B2" s="4" t="s">
        <v>3</v>
      </c>
      <c r="C2" s="6">
        <v>10267.31</v>
      </c>
      <c r="D2" s="9">
        <v>10267.31</v>
      </c>
      <c r="E2" s="6"/>
      <c r="I2" s="7"/>
      <c r="J2" s="7"/>
      <c r="K2" s="8">
        <f>K7*C2</f>
        <v>9025.4563906377753</v>
      </c>
      <c r="L2" s="8">
        <f>L7*C2</f>
        <v>1241.853609362224</v>
      </c>
    </row>
    <row r="3" spans="1:14" ht="15.75" thickTop="1" thickBot="1" x14ac:dyDescent="0.25">
      <c r="A3" s="4" t="s">
        <v>4</v>
      </c>
      <c r="B3" s="4" t="s">
        <v>9</v>
      </c>
      <c r="C3" s="6">
        <v>11472.440000000002</v>
      </c>
      <c r="D3" s="9">
        <v>11472.440000000002</v>
      </c>
      <c r="E3" s="6"/>
      <c r="I3" s="7">
        <v>1</v>
      </c>
      <c r="J3" s="7"/>
      <c r="K3" s="8">
        <f>I3*C3</f>
        <v>11472.440000000002</v>
      </c>
      <c r="L3" s="8">
        <f>J3*C3</f>
        <v>0</v>
      </c>
      <c r="M3" s="8">
        <f>SUM(K3:L3)</f>
        <v>11472.440000000002</v>
      </c>
      <c r="N3" s="8">
        <f>M3-C3</f>
        <v>0</v>
      </c>
    </row>
    <row r="4" spans="1:14" ht="15.75" thickTop="1" thickBot="1" x14ac:dyDescent="0.25">
      <c r="A4" s="4" t="s">
        <v>5</v>
      </c>
      <c r="B4" s="4" t="s">
        <v>6</v>
      </c>
      <c r="C4" s="6">
        <v>10379.950000000001</v>
      </c>
      <c r="D4" s="9">
        <v>10379.950000000001</v>
      </c>
      <c r="E4" s="6"/>
      <c r="I4" s="7">
        <v>0.75</v>
      </c>
      <c r="J4" s="7">
        <v>0.25</v>
      </c>
      <c r="K4" s="8">
        <f t="shared" ref="K4:K6" si="0">I4*C4</f>
        <v>7784.9625000000005</v>
      </c>
      <c r="L4" s="8">
        <f t="shared" ref="L4:L6" si="1">J4*C4</f>
        <v>2594.9875000000002</v>
      </c>
      <c r="M4" s="8">
        <f t="shared" ref="M4:M6" si="2">SUM(K4:L4)</f>
        <v>10379.950000000001</v>
      </c>
      <c r="N4" s="8">
        <f t="shared" ref="N4:N6" si="3">M4-C4</f>
        <v>0</v>
      </c>
    </row>
    <row r="5" spans="1:14" ht="15.75" thickTop="1" thickBot="1" x14ac:dyDescent="0.25">
      <c r="A5" s="4" t="s">
        <v>7</v>
      </c>
      <c r="B5" s="4" t="s">
        <v>17</v>
      </c>
      <c r="C5" s="6">
        <v>5085.37</v>
      </c>
      <c r="D5" s="9">
        <v>5085.37</v>
      </c>
      <c r="E5" s="6"/>
      <c r="I5" s="7">
        <v>0</v>
      </c>
      <c r="J5" s="7">
        <v>1</v>
      </c>
      <c r="K5" s="8">
        <f t="shared" si="0"/>
        <v>0</v>
      </c>
      <c r="L5" s="8">
        <f t="shared" si="1"/>
        <v>5085.37</v>
      </c>
      <c r="M5" s="8">
        <f t="shared" si="2"/>
        <v>5085.37</v>
      </c>
      <c r="N5" s="8">
        <f t="shared" si="3"/>
        <v>0</v>
      </c>
    </row>
    <row r="6" spans="1:14" ht="15.75" thickTop="1" thickBot="1" x14ac:dyDescent="0.25">
      <c r="A6" s="4" t="s">
        <v>8</v>
      </c>
      <c r="B6" s="4" t="s">
        <v>18</v>
      </c>
      <c r="C6" s="6">
        <v>36561.360000000001</v>
      </c>
      <c r="D6" s="6"/>
      <c r="E6" s="9">
        <v>36561.360000000001</v>
      </c>
      <c r="I6" s="7">
        <v>1</v>
      </c>
      <c r="J6" s="7">
        <v>0</v>
      </c>
      <c r="K6" s="8">
        <f t="shared" si="0"/>
        <v>36561.360000000001</v>
      </c>
      <c r="L6" s="8">
        <f t="shared" si="1"/>
        <v>0</v>
      </c>
      <c r="M6" s="8">
        <f t="shared" si="2"/>
        <v>36561.360000000001</v>
      </c>
      <c r="N6" s="8">
        <f t="shared" si="3"/>
        <v>0</v>
      </c>
    </row>
    <row r="7" spans="1:14" ht="15" thickTop="1" x14ac:dyDescent="0.2">
      <c r="A7" s="14" t="s">
        <v>13</v>
      </c>
      <c r="B7" s="14"/>
      <c r="C7" s="13">
        <v>73766.429999999993</v>
      </c>
      <c r="D7" s="12">
        <v>0.50436316356911948</v>
      </c>
      <c r="E7" s="12">
        <v>0.49563683643088058</v>
      </c>
      <c r="K7" s="10">
        <f>(SUM(K3:K6))/$M$7</f>
        <v>0.87904781200117421</v>
      </c>
      <c r="L7" s="10">
        <f>(SUM(L3:L6))/$M$7</f>
        <v>0.1209521879988258</v>
      </c>
      <c r="M7" s="8">
        <f>SUM(M3:M6)</f>
        <v>63499.12</v>
      </c>
    </row>
    <row r="8" spans="1:14" x14ac:dyDescent="0.2">
      <c r="A8" s="14" t="s">
        <v>14</v>
      </c>
      <c r="B8" s="14"/>
      <c r="C8" s="5"/>
      <c r="D8" s="11">
        <v>37205.07</v>
      </c>
      <c r="E8" s="11">
        <v>36561.360000000001</v>
      </c>
    </row>
    <row r="9" spans="1:14" x14ac:dyDescent="0.2">
      <c r="A9" s="14" t="s">
        <v>15</v>
      </c>
      <c r="B9" s="14"/>
      <c r="C9" s="5"/>
      <c r="D9" s="12">
        <v>0.50436316356911948</v>
      </c>
      <c r="E9" s="12">
        <v>1</v>
      </c>
    </row>
    <row r="10" spans="1:14" x14ac:dyDescent="0.2">
      <c r="A10" s="14" t="s">
        <v>16</v>
      </c>
      <c r="B10" s="14"/>
      <c r="C10" s="5"/>
      <c r="D10" s="11">
        <v>37205.07</v>
      </c>
      <c r="E10" s="11">
        <v>73766.429999999993</v>
      </c>
    </row>
  </sheetData>
  <mergeCells count="4">
    <mergeCell ref="A8:B8"/>
    <mergeCell ref="A9:B9"/>
    <mergeCell ref="A10:B10"/>
    <mergeCell ref="A7:B7"/>
  </mergeCells>
  <pageMargins left="0.511811024" right="0.511811024" top="0.78740157499999996" bottom="0.78740157499999996" header="0.31496062000000002" footer="0.31496062000000002"/>
  <pageSetup paperSize="9"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Adriano Augusto</cp:lastModifiedBy>
  <cp:revision>0</cp:revision>
  <cp:lastPrinted>2025-08-08T17:16:37Z</cp:lastPrinted>
  <dcterms:created xsi:type="dcterms:W3CDTF">2025-02-17T19:46:39Z</dcterms:created>
  <dcterms:modified xsi:type="dcterms:W3CDTF">2025-11-05T18:34:18Z</dcterms:modified>
</cp:coreProperties>
</file>